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defaultThemeVersion="202300"/>
  <mc:AlternateContent xmlns:mc="http://schemas.openxmlformats.org/markup-compatibility/2006">
    <mc:Choice Requires="x15">
      <x15ac:absPath xmlns:x15ac="http://schemas.microsoft.com/office/spreadsheetml/2010/11/ac" url="https://d.docs.live.net/27b439749ae9ef5c/Desktop/"/>
    </mc:Choice>
  </mc:AlternateContent>
  <xr:revisionPtr revIDLastSave="0" documentId="8_{9E5B89AD-BA67-48B5-B3F8-E5827B4B8F09}" xr6:coauthVersionLast="47" xr6:coauthVersionMax="47" xr10:uidLastSave="{00000000-0000-0000-0000-000000000000}"/>
  <bookViews>
    <workbookView xWindow="19095" yWindow="0" windowWidth="19410" windowHeight="20985" firstSheet="7" activeTab="7" xr2:uid="{1C99FA85-9C19-4121-A373-3DE9D1143778}"/>
  </bookViews>
  <sheets>
    <sheet name="Sheet5" sheetId="11" state="hidden" r:id="rId1"/>
    <sheet name="Append2" sheetId="7" state="hidden" r:id="rId2"/>
    <sheet name="Table6" sheetId="6" state="hidden" r:id="rId3"/>
    <sheet name="Table5" sheetId="5" state="hidden" r:id="rId4"/>
    <sheet name="Table4" sheetId="4" state="hidden" r:id="rId5"/>
    <sheet name="Table3" sheetId="3" state="hidden" r:id="rId6"/>
    <sheet name="Table2" sheetId="2" state="hidden" r:id="rId7"/>
    <sheet name="DashBoard" sheetId="1" r:id="rId8"/>
  </sheets>
  <definedNames>
    <definedName name="ExternalData_1" localSheetId="6" hidden="1">Table2!$A$1:$C$13</definedName>
    <definedName name="ExternalData_2" localSheetId="5" hidden="1">Table3!$A$1:$C$13</definedName>
    <definedName name="ExternalData_3" localSheetId="4" hidden="1">Table4!$A$1:$C$13</definedName>
    <definedName name="ExternalData_4" localSheetId="3" hidden="1">Table5!$A$1:$C$13</definedName>
    <definedName name="ExternalData_5" localSheetId="2" hidden="1">Table6!$A$1:$C$13</definedName>
    <definedName name="ExternalData_6" localSheetId="1" hidden="1">Append2!$A$1:$C$61</definedName>
    <definedName name="Slicer_Metric_Clean">#N/A</definedName>
    <definedName name="Slicer_Year">#N/A</definedName>
  </definedNames>
  <calcPr calcId="191029"/>
  <pivotCaches>
    <pivotCache cacheId="17"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7" l="1"/>
  <c r="D3" i="7"/>
  <c r="D4" i="7"/>
  <c r="D5" i="7"/>
  <c r="D6" i="7"/>
  <c r="D7" i="7"/>
  <c r="D8" i="7"/>
  <c r="D9" i="7"/>
  <c r="D10" i="7"/>
  <c r="D11" i="7"/>
  <c r="D12" i="7"/>
  <c r="D13" i="7"/>
  <c r="D14" i="7"/>
  <c r="D15" i="7"/>
  <c r="D16" i="7"/>
  <c r="D17" i="7"/>
  <c r="D18" i="7"/>
  <c r="D19" i="7"/>
  <c r="D20" i="7"/>
  <c r="D21" i="7"/>
  <c r="D22" i="7"/>
  <c r="D23" i="7"/>
  <c r="D24" i="7"/>
  <c r="D25" i="7"/>
  <c r="D26" i="7"/>
  <c r="D27" i="7"/>
  <c r="D28" i="7"/>
  <c r="D29" i="7"/>
  <c r="D30" i="7"/>
  <c r="D31" i="7"/>
  <c r="D32" i="7"/>
  <c r="D33" i="7"/>
  <c r="D34" i="7"/>
  <c r="D35" i="7"/>
  <c r="D36" i="7"/>
  <c r="D37" i="7"/>
  <c r="D38" i="7"/>
  <c r="D39" i="7"/>
  <c r="D40" i="7"/>
  <c r="D41" i="7"/>
  <c r="D42" i="7"/>
  <c r="D43" i="7"/>
  <c r="D44" i="7"/>
  <c r="D45" i="7"/>
  <c r="D46" i="7"/>
  <c r="D47" i="7"/>
  <c r="D48" i="7"/>
  <c r="D49" i="7"/>
  <c r="D50" i="7"/>
  <c r="D51" i="7"/>
  <c r="D52" i="7"/>
  <c r="D53" i="7"/>
  <c r="D54" i="7"/>
  <c r="D55" i="7"/>
  <c r="D56" i="7"/>
  <c r="D57" i="7"/>
  <c r="D58" i="7"/>
  <c r="D59" i="7"/>
  <c r="D60" i="7"/>
  <c r="D61"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CFD3FC-9D61-4BB7-86AC-0993C9D54BAA}" keepAlive="1" name="Query - Append2" description="Connection to the 'Append2' query in the workbook." type="5" refreshedVersion="8" background="1" saveData="1">
    <dbPr connection="Provider=Microsoft.Mashup.OleDb.1;Data Source=$Workbook$;Location=Append2;Extended Properties=&quot;&quot;" command="SELECT * FROM [Append2]"/>
  </connection>
  <connection id="2" xr16:uid="{0D4C39F5-72ED-46FD-8FC3-7A693BE89496}"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 id="3" xr16:uid="{7B2A4230-D15A-4664-8435-0270C741E514}"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4" xr16:uid="{5E5743BC-A240-45B9-836D-DA03279F6EE5}" keepAlive="1" name="Query - Table4" description="Connection to the 'Table4' query in the workbook." type="5" refreshedVersion="8" background="1" saveData="1">
    <dbPr connection="Provider=Microsoft.Mashup.OleDb.1;Data Source=$Workbook$;Location=Table4;Extended Properties=&quot;&quot;" command="SELECT * FROM [Table4]"/>
  </connection>
  <connection id="5" xr16:uid="{94EE0E58-D752-4951-8422-4ECE3E1B7AEA}" keepAlive="1" name="Query - Table5" description="Connection to the 'Table5' query in the workbook." type="5" refreshedVersion="8" background="1" saveData="1">
    <dbPr connection="Provider=Microsoft.Mashup.OleDb.1;Data Source=$Workbook$;Location=Table5;Extended Properties=&quot;&quot;" command="SELECT * FROM [Table5]"/>
  </connection>
  <connection id="6" xr16:uid="{9609EA59-8F51-4797-9DFC-77FC4EAF1752}" keepAlive="1" name="Query - Table6" description="Connection to the 'Table6' query in the workbook." type="5" refreshedVersion="8" background="1" saveData="1">
    <dbPr connection="Provider=Microsoft.Mashup.OleDb.1;Data Source=$Workbook$;Location=Table6;Extended Properties=&quot;&quot;" command="SELECT * FROM [Table6]"/>
  </connection>
</connections>
</file>

<file path=xl/sharedStrings.xml><?xml version="1.0" encoding="utf-8"?>
<sst xmlns="http://schemas.openxmlformats.org/spreadsheetml/2006/main" count="287" uniqueCount="29">
  <si>
    <t>Metric</t>
  </si>
  <si>
    <t>Year</t>
  </si>
  <si>
    <t>Value</t>
  </si>
  <si>
    <t>Total Crashes:</t>
  </si>
  <si>
    <t>2015</t>
  </si>
  <si>
    <t>Injury Crashes:</t>
  </si>
  <si>
    <t>Total Injuries:</t>
  </si>
  <si>
    <t>Crashes with Traffic Fatalities:</t>
  </si>
  <si>
    <t>Total Traffic Fatalities</t>
  </si>
  <si>
    <t>Commercial Vehicle Crashes:</t>
  </si>
  <si>
    <t>Commercial Vehicles:</t>
  </si>
  <si>
    <t>Property Damage Crashes:</t>
  </si>
  <si>
    <t>Pedestrian Crashes:</t>
  </si>
  <si>
    <t>Pedestrian Fatalities:</t>
  </si>
  <si>
    <t>Bicycle Crashes:</t>
  </si>
  <si>
    <t>Bicycle Fatalities:</t>
  </si>
  <si>
    <t>2014</t>
  </si>
  <si>
    <t>2013</t>
  </si>
  <si>
    <t>2012</t>
  </si>
  <si>
    <t>2011</t>
  </si>
  <si>
    <t>Metric Clean</t>
  </si>
  <si>
    <t>Row Labels</t>
  </si>
  <si>
    <t>Crashes with Traffic Fatalities</t>
  </si>
  <si>
    <t>Injury Crashes</t>
  </si>
  <si>
    <t>Pedestrian Crashes</t>
  </si>
  <si>
    <t>Pedestrian Fatalities</t>
  </si>
  <si>
    <t>Grand Total</t>
  </si>
  <si>
    <t>Column Labels</t>
  </si>
  <si>
    <t>Sum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</si>
</sst>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[Bhuvanapalli_Research-Statistics_Consultant_Skills_Assessment.xlsx]DashBoard!PivotTable4</c:name>
    <c:fmtId val="5"/>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DashBoard!$B$36:$B$37</c:f>
              <c:strCache>
                <c:ptCount val="1"/>
                <c:pt idx="0">
                  <c:v>2011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DashBoard!$A$38:$A$42</c:f>
              <c:strCache>
                <c:ptCount val="4"/>
                <c:pt idx="0">
                  <c:v>Crashes with Traffic Fatalities</c:v>
                </c:pt>
                <c:pt idx="1">
                  <c:v>Injury Crashes</c:v>
                </c:pt>
                <c:pt idx="2">
                  <c:v>Pedestrian Crashes</c:v>
                </c:pt>
                <c:pt idx="3">
                  <c:v>Pedestrian Fatalities</c:v>
                </c:pt>
              </c:strCache>
            </c:strRef>
          </c:cat>
          <c:val>
            <c:numRef>
              <c:f>DashBoard!$B$38:$B$42</c:f>
              <c:numCache>
                <c:formatCode>General</c:formatCode>
                <c:ptCount val="4"/>
                <c:pt idx="0">
                  <c:v>2215</c:v>
                </c:pt>
                <c:pt idx="1">
                  <c:v>118157</c:v>
                </c:pt>
                <c:pt idx="2">
                  <c:v>7046</c:v>
                </c:pt>
                <c:pt idx="3">
                  <c:v>498</c:v>
                </c:pt>
              </c:numCache>
            </c:numRef>
          </c:val>
          <c:smooth val="0"/>
          <c:extLst>
            <c:ext xmlns:c16="http://schemas.microsoft.com/office/drawing/2014/chart" uri="{C3380CC4-5D6E-409C-BE32-E72D297353CC}">
              <c16:uniqueId val="{00000000-4EF4-49FB-BE51-E189722CD9E3}"/>
            </c:ext>
          </c:extLst>
        </c:ser>
        <c:ser>
          <c:idx val="1"/>
          <c:order val="1"/>
          <c:tx>
            <c:strRef>
              <c:f>DashBoard!$C$36:$C$37</c:f>
              <c:strCache>
                <c:ptCount val="1"/>
                <c:pt idx="0">
                  <c:v>2012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DashBoard!$A$38:$A$42</c:f>
              <c:strCache>
                <c:ptCount val="4"/>
                <c:pt idx="0">
                  <c:v>Crashes with Traffic Fatalities</c:v>
                </c:pt>
                <c:pt idx="1">
                  <c:v>Injury Crashes</c:v>
                </c:pt>
                <c:pt idx="2">
                  <c:v>Pedestrian Crashes</c:v>
                </c:pt>
                <c:pt idx="3">
                  <c:v>Pedestrian Fatalities</c:v>
                </c:pt>
              </c:strCache>
            </c:strRef>
          </c:cat>
          <c:val>
            <c:numRef>
              <c:f>DashBoard!$C$38:$C$42</c:f>
              <c:numCache>
                <c:formatCode>General</c:formatCode>
                <c:ptCount val="4"/>
                <c:pt idx="0">
                  <c:v>2249</c:v>
                </c:pt>
                <c:pt idx="1">
                  <c:v>130333</c:v>
                </c:pt>
                <c:pt idx="2">
                  <c:v>8280</c:v>
                </c:pt>
                <c:pt idx="3">
                  <c:v>476</c:v>
                </c:pt>
              </c:numCache>
            </c:numRef>
          </c:val>
          <c:smooth val="0"/>
          <c:extLst>
            <c:ext xmlns:c16="http://schemas.microsoft.com/office/drawing/2014/chart" uri="{C3380CC4-5D6E-409C-BE32-E72D297353CC}">
              <c16:uniqueId val="{00000007-4EF4-49FB-BE51-E189722CD9E3}"/>
            </c:ext>
          </c:extLst>
        </c:ser>
        <c:ser>
          <c:idx val="2"/>
          <c:order val="2"/>
          <c:tx>
            <c:strRef>
              <c:f>DashBoard!$D$36:$D$37</c:f>
              <c:strCache>
                <c:ptCount val="1"/>
                <c:pt idx="0">
                  <c:v>2013</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DashBoard!$A$38:$A$42</c:f>
              <c:strCache>
                <c:ptCount val="4"/>
                <c:pt idx="0">
                  <c:v>Crashes with Traffic Fatalities</c:v>
                </c:pt>
                <c:pt idx="1">
                  <c:v>Injury Crashes</c:v>
                </c:pt>
                <c:pt idx="2">
                  <c:v>Pedestrian Crashes</c:v>
                </c:pt>
                <c:pt idx="3">
                  <c:v>Pedestrian Fatalities</c:v>
                </c:pt>
              </c:strCache>
            </c:strRef>
          </c:cat>
          <c:val>
            <c:numRef>
              <c:f>DashBoard!$D$38:$D$42</c:f>
              <c:numCache>
                <c:formatCode>General</c:formatCode>
                <c:ptCount val="4"/>
                <c:pt idx="0">
                  <c:v>2224</c:v>
                </c:pt>
                <c:pt idx="1">
                  <c:v>140204</c:v>
                </c:pt>
                <c:pt idx="2">
                  <c:v>8421</c:v>
                </c:pt>
                <c:pt idx="3">
                  <c:v>498</c:v>
                </c:pt>
              </c:numCache>
            </c:numRef>
          </c:val>
          <c:smooth val="0"/>
          <c:extLst>
            <c:ext xmlns:c16="http://schemas.microsoft.com/office/drawing/2014/chart" uri="{C3380CC4-5D6E-409C-BE32-E72D297353CC}">
              <c16:uniqueId val="{00000008-4EF4-49FB-BE51-E189722CD9E3}"/>
            </c:ext>
          </c:extLst>
        </c:ser>
        <c:ser>
          <c:idx val="3"/>
          <c:order val="3"/>
          <c:tx>
            <c:strRef>
              <c:f>DashBoard!$E$36:$E$37</c:f>
              <c:strCache>
                <c:ptCount val="1"/>
                <c:pt idx="0">
                  <c:v>2014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DashBoard!$A$38:$A$42</c:f>
              <c:strCache>
                <c:ptCount val="4"/>
                <c:pt idx="0">
                  <c:v>Crashes with Traffic Fatalities</c:v>
                </c:pt>
                <c:pt idx="1">
                  <c:v>Injury Crashes</c:v>
                </c:pt>
                <c:pt idx="2">
                  <c:v>Pedestrian Crashes</c:v>
                </c:pt>
                <c:pt idx="3">
                  <c:v>Pedestrian Fatalities</c:v>
                </c:pt>
              </c:strCache>
            </c:strRef>
          </c:cat>
          <c:val>
            <c:numRef>
              <c:f>DashBoard!$E$38:$E$42</c:f>
              <c:numCache>
                <c:formatCode>General</c:formatCode>
                <c:ptCount val="4"/>
                <c:pt idx="0">
                  <c:v>2339</c:v>
                </c:pt>
                <c:pt idx="1">
                  <c:v>149493</c:v>
                </c:pt>
                <c:pt idx="2">
                  <c:v>8846</c:v>
                </c:pt>
                <c:pt idx="3">
                  <c:v>607</c:v>
                </c:pt>
              </c:numCache>
            </c:numRef>
          </c:val>
          <c:smooth val="0"/>
          <c:extLst>
            <c:ext xmlns:c16="http://schemas.microsoft.com/office/drawing/2014/chart" uri="{C3380CC4-5D6E-409C-BE32-E72D297353CC}">
              <c16:uniqueId val="{00000009-4EF4-49FB-BE51-E189722CD9E3}"/>
            </c:ext>
          </c:extLst>
        </c:ser>
        <c:ser>
          <c:idx val="4"/>
          <c:order val="4"/>
          <c:tx>
            <c:strRef>
              <c:f>DashBoard!$F$36:$F$37</c:f>
              <c:strCache>
                <c:ptCount val="1"/>
                <c:pt idx="0">
                  <c:v>2015</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DashBoard!$A$38:$A$42</c:f>
              <c:strCache>
                <c:ptCount val="4"/>
                <c:pt idx="0">
                  <c:v>Crashes with Traffic Fatalities</c:v>
                </c:pt>
                <c:pt idx="1">
                  <c:v>Injury Crashes</c:v>
                </c:pt>
                <c:pt idx="2">
                  <c:v>Pedestrian Crashes</c:v>
                </c:pt>
                <c:pt idx="3">
                  <c:v>Pedestrian Fatalities</c:v>
                </c:pt>
              </c:strCache>
            </c:strRef>
          </c:cat>
          <c:val>
            <c:numRef>
              <c:f>DashBoard!$F$38:$F$42</c:f>
              <c:numCache>
                <c:formatCode>General</c:formatCode>
                <c:ptCount val="4"/>
                <c:pt idx="0">
                  <c:v>2670</c:v>
                </c:pt>
                <c:pt idx="1">
                  <c:v>159765</c:v>
                </c:pt>
                <c:pt idx="2">
                  <c:v>9075</c:v>
                </c:pt>
                <c:pt idx="3">
                  <c:v>609</c:v>
                </c:pt>
              </c:numCache>
            </c:numRef>
          </c:val>
          <c:smooth val="0"/>
          <c:extLst>
            <c:ext xmlns:c16="http://schemas.microsoft.com/office/drawing/2014/chart" uri="{C3380CC4-5D6E-409C-BE32-E72D297353CC}">
              <c16:uniqueId val="{0000000A-4EF4-49FB-BE51-E189722CD9E3}"/>
            </c:ext>
          </c:extLst>
        </c:ser>
        <c:dLbls>
          <c:showLegendKey val="0"/>
          <c:showVal val="0"/>
          <c:showCatName val="0"/>
          <c:showSerName val="0"/>
          <c:showPercent val="0"/>
          <c:showBubbleSize val="0"/>
        </c:dLbls>
        <c:marker val="1"/>
        <c:smooth val="0"/>
        <c:axId val="2083789264"/>
        <c:axId val="2083785904"/>
      </c:lineChart>
      <c:catAx>
        <c:axId val="2083789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785904"/>
        <c:crosses val="autoZero"/>
        <c:auto val="1"/>
        <c:lblAlgn val="ctr"/>
        <c:lblOffset val="100"/>
        <c:noMultiLvlLbl val="0"/>
      </c:catAx>
      <c:valAx>
        <c:axId val="208378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3789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[Bhuvanapalli_Research-Statistics_Consultant_Skills_Assessment.xlsx]DashBoard!PivotTable6</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DashBoard!$L$36:$L$37</c:f>
              <c:strCache>
                <c:ptCount val="1"/>
                <c:pt idx="0">
                  <c:v>2011</c:v>
                </c:pt>
              </c:strCache>
            </c:strRef>
          </c:tx>
          <c:spPr>
            <a:solidFill>
              <a:schemeClr val="accent1"/>
            </a:solidFill>
            <a:ln>
              <a:noFill/>
            </a:ln>
            <a:effectLst/>
          </c:spPr>
          <c:invertIfNegative val="0"/>
          <c:cat>
            <c:strRef>
              <c:f>DashBoard!$K$38:$K$42</c:f>
              <c:strCache>
                <c:ptCount val="4"/>
                <c:pt idx="0">
                  <c:v>Crashes with Traffic Fatalities</c:v>
                </c:pt>
                <c:pt idx="1">
                  <c:v>Injury Crashes</c:v>
                </c:pt>
                <c:pt idx="2">
                  <c:v>Pedestrian Crashes</c:v>
                </c:pt>
                <c:pt idx="3">
                  <c:v>Pedestrian Fatalities</c:v>
                </c:pt>
              </c:strCache>
            </c:strRef>
          </c:cat>
          <c:val>
            <c:numRef>
              <c:f>DashBoard!$L$38:$L$42</c:f>
              <c:numCache>
                <c:formatCode>0.00%</c:formatCode>
                <c:ptCount val="4"/>
                <c:pt idx="0">
                  <c:v>0.18936479439172438</c:v>
                </c:pt>
                <c:pt idx="1">
                  <c:v>0.16929101141625785</c:v>
                </c:pt>
                <c:pt idx="2">
                  <c:v>0.16909858884515697</c:v>
                </c:pt>
                <c:pt idx="3">
                  <c:v>0.18526785714285715</c:v>
                </c:pt>
              </c:numCache>
            </c:numRef>
          </c:val>
          <c:extLst>
            <c:ext xmlns:c16="http://schemas.microsoft.com/office/drawing/2014/chart" uri="{C3380CC4-5D6E-409C-BE32-E72D297353CC}">
              <c16:uniqueId val="{00000000-048C-4567-BF3C-5C514771BE52}"/>
            </c:ext>
          </c:extLst>
        </c:ser>
        <c:ser>
          <c:idx val="1"/>
          <c:order val="1"/>
          <c:tx>
            <c:strRef>
              <c:f>DashBoard!$M$36:$M$37</c:f>
              <c:strCache>
                <c:ptCount val="1"/>
                <c:pt idx="0">
                  <c:v>2012</c:v>
                </c:pt>
              </c:strCache>
            </c:strRef>
          </c:tx>
          <c:spPr>
            <a:solidFill>
              <a:schemeClr val="accent2"/>
            </a:solidFill>
            <a:ln>
              <a:noFill/>
            </a:ln>
            <a:effectLst/>
          </c:spPr>
          <c:invertIfNegative val="0"/>
          <c:cat>
            <c:strRef>
              <c:f>DashBoard!$K$38:$K$42</c:f>
              <c:strCache>
                <c:ptCount val="4"/>
                <c:pt idx="0">
                  <c:v>Crashes with Traffic Fatalities</c:v>
                </c:pt>
                <c:pt idx="1">
                  <c:v>Injury Crashes</c:v>
                </c:pt>
                <c:pt idx="2">
                  <c:v>Pedestrian Crashes</c:v>
                </c:pt>
                <c:pt idx="3">
                  <c:v>Pedestrian Fatalities</c:v>
                </c:pt>
              </c:strCache>
            </c:strRef>
          </c:cat>
          <c:val>
            <c:numRef>
              <c:f>DashBoard!$M$38:$M$42</c:f>
              <c:numCache>
                <c:formatCode>0.00%</c:formatCode>
                <c:ptCount val="4"/>
                <c:pt idx="0">
                  <c:v>0.19227152261263572</c:v>
                </c:pt>
                <c:pt idx="1">
                  <c:v>0.18673633716931823</c:v>
                </c:pt>
                <c:pt idx="2">
                  <c:v>0.19871364116348278</c:v>
                </c:pt>
                <c:pt idx="3">
                  <c:v>0.17708333333333334</c:v>
                </c:pt>
              </c:numCache>
            </c:numRef>
          </c:val>
          <c:extLst>
            <c:ext xmlns:c16="http://schemas.microsoft.com/office/drawing/2014/chart" uri="{C3380CC4-5D6E-409C-BE32-E72D297353CC}">
              <c16:uniqueId val="{00000001-048C-4567-BF3C-5C514771BE52}"/>
            </c:ext>
          </c:extLst>
        </c:ser>
        <c:ser>
          <c:idx val="2"/>
          <c:order val="2"/>
          <c:tx>
            <c:strRef>
              <c:f>DashBoard!$N$36:$N$37</c:f>
              <c:strCache>
                <c:ptCount val="1"/>
                <c:pt idx="0">
                  <c:v>2013</c:v>
                </c:pt>
              </c:strCache>
            </c:strRef>
          </c:tx>
          <c:spPr>
            <a:solidFill>
              <a:schemeClr val="accent3"/>
            </a:solidFill>
            <a:ln>
              <a:noFill/>
            </a:ln>
            <a:effectLst/>
          </c:spPr>
          <c:invertIfNegative val="0"/>
          <c:cat>
            <c:strRef>
              <c:f>DashBoard!$K$38:$K$42</c:f>
              <c:strCache>
                <c:ptCount val="4"/>
                <c:pt idx="0">
                  <c:v>Crashes with Traffic Fatalities</c:v>
                </c:pt>
                <c:pt idx="1">
                  <c:v>Injury Crashes</c:v>
                </c:pt>
                <c:pt idx="2">
                  <c:v>Pedestrian Crashes</c:v>
                </c:pt>
                <c:pt idx="3">
                  <c:v>Pedestrian Fatalities</c:v>
                </c:pt>
              </c:strCache>
            </c:strRef>
          </c:cat>
          <c:val>
            <c:numRef>
              <c:f>DashBoard!$N$38:$N$42</c:f>
              <c:numCache>
                <c:formatCode>0.00%</c:formatCode>
                <c:ptCount val="4"/>
                <c:pt idx="0">
                  <c:v>0.1901342224502009</c:v>
                </c:pt>
                <c:pt idx="1">
                  <c:v>0.200879143551419</c:v>
                </c:pt>
                <c:pt idx="2">
                  <c:v>0.20209753287894788</c:v>
                </c:pt>
                <c:pt idx="3">
                  <c:v>0.18526785714285715</c:v>
                </c:pt>
              </c:numCache>
            </c:numRef>
          </c:val>
          <c:extLst>
            <c:ext xmlns:c16="http://schemas.microsoft.com/office/drawing/2014/chart" uri="{C3380CC4-5D6E-409C-BE32-E72D297353CC}">
              <c16:uniqueId val="{00000002-048C-4567-BF3C-5C514771BE52}"/>
            </c:ext>
          </c:extLst>
        </c:ser>
        <c:ser>
          <c:idx val="3"/>
          <c:order val="3"/>
          <c:tx>
            <c:strRef>
              <c:f>DashBoard!$O$36:$O$37</c:f>
              <c:strCache>
                <c:ptCount val="1"/>
                <c:pt idx="0">
                  <c:v>2014</c:v>
                </c:pt>
              </c:strCache>
            </c:strRef>
          </c:tx>
          <c:spPr>
            <a:solidFill>
              <a:schemeClr val="accent4"/>
            </a:solidFill>
            <a:ln>
              <a:noFill/>
            </a:ln>
            <a:effectLst/>
          </c:spPr>
          <c:invertIfNegative val="0"/>
          <c:cat>
            <c:strRef>
              <c:f>DashBoard!$K$38:$K$42</c:f>
              <c:strCache>
                <c:ptCount val="4"/>
                <c:pt idx="0">
                  <c:v>Crashes with Traffic Fatalities</c:v>
                </c:pt>
                <c:pt idx="1">
                  <c:v>Injury Crashes</c:v>
                </c:pt>
                <c:pt idx="2">
                  <c:v>Pedestrian Crashes</c:v>
                </c:pt>
                <c:pt idx="3">
                  <c:v>Pedestrian Fatalities</c:v>
                </c:pt>
              </c:strCache>
            </c:strRef>
          </c:cat>
          <c:val>
            <c:numRef>
              <c:f>DashBoard!$O$38:$O$42</c:f>
              <c:numCache>
                <c:formatCode>0.00%</c:formatCode>
                <c:ptCount val="4"/>
                <c:pt idx="0">
                  <c:v>0.19996580319740104</c:v>
                </c:pt>
                <c:pt idx="1">
                  <c:v>0.21418808170189355</c:v>
                </c:pt>
                <c:pt idx="2">
                  <c:v>0.21229720648939235</c:v>
                </c:pt>
                <c:pt idx="3">
                  <c:v>0.22581845238095238</c:v>
                </c:pt>
              </c:numCache>
            </c:numRef>
          </c:val>
          <c:extLst>
            <c:ext xmlns:c16="http://schemas.microsoft.com/office/drawing/2014/chart" uri="{C3380CC4-5D6E-409C-BE32-E72D297353CC}">
              <c16:uniqueId val="{00000004-048C-4567-BF3C-5C514771BE52}"/>
            </c:ext>
          </c:extLst>
        </c:ser>
        <c:ser>
          <c:idx val="4"/>
          <c:order val="4"/>
          <c:tx>
            <c:strRef>
              <c:f>DashBoard!$P$36:$P$37</c:f>
              <c:strCache>
                <c:ptCount val="1"/>
                <c:pt idx="0">
                  <c:v>2015</c:v>
                </c:pt>
              </c:strCache>
            </c:strRef>
          </c:tx>
          <c:spPr>
            <a:solidFill>
              <a:schemeClr val="accent5"/>
            </a:solidFill>
            <a:ln>
              <a:noFill/>
            </a:ln>
            <a:effectLst/>
          </c:spPr>
          <c:invertIfNegative val="0"/>
          <c:cat>
            <c:strRef>
              <c:f>DashBoard!$K$38:$K$42</c:f>
              <c:strCache>
                <c:ptCount val="4"/>
                <c:pt idx="0">
                  <c:v>Crashes with Traffic Fatalities</c:v>
                </c:pt>
                <c:pt idx="1">
                  <c:v>Injury Crashes</c:v>
                </c:pt>
                <c:pt idx="2">
                  <c:v>Pedestrian Crashes</c:v>
                </c:pt>
                <c:pt idx="3">
                  <c:v>Pedestrian Fatalities</c:v>
                </c:pt>
              </c:strCache>
            </c:strRef>
          </c:cat>
          <c:val>
            <c:numRef>
              <c:f>DashBoard!$P$38:$P$42</c:f>
              <c:numCache>
                <c:formatCode>0.00%</c:formatCode>
                <c:ptCount val="4"/>
                <c:pt idx="0">
                  <c:v>0.22826365734803797</c:v>
                </c:pt>
                <c:pt idx="1">
                  <c:v>0.22890542616111137</c:v>
                </c:pt>
                <c:pt idx="2">
                  <c:v>0.21779303062302005</c:v>
                </c:pt>
                <c:pt idx="3">
                  <c:v>0.2265625</c:v>
                </c:pt>
              </c:numCache>
            </c:numRef>
          </c:val>
          <c:extLst>
            <c:ext xmlns:c16="http://schemas.microsoft.com/office/drawing/2014/chart" uri="{C3380CC4-5D6E-409C-BE32-E72D297353CC}">
              <c16:uniqueId val="{00000005-048C-4567-BF3C-5C514771BE52}"/>
            </c:ext>
          </c:extLst>
        </c:ser>
        <c:dLbls>
          <c:showLegendKey val="0"/>
          <c:showVal val="0"/>
          <c:showCatName val="0"/>
          <c:showSerName val="0"/>
          <c:showPercent val="0"/>
          <c:showBubbleSize val="0"/>
        </c:dLbls>
        <c:gapWidth val="150"/>
        <c:overlap val="100"/>
        <c:axId val="1731406720"/>
        <c:axId val="1731407680"/>
      </c:barChart>
      <c:catAx>
        <c:axId val="1731406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407680"/>
        <c:crosses val="autoZero"/>
        <c:auto val="1"/>
        <c:lblAlgn val="ctr"/>
        <c:lblOffset val="100"/>
        <c:noMultiLvlLbl val="0"/>
      </c:catAx>
      <c:valAx>
        <c:axId val="17314076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40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1</xdr:col>
      <xdr:colOff>560916</xdr:colOff>
      <xdr:row>24</xdr:row>
      <xdr:rowOff>0</xdr:rowOff>
    </xdr:from>
    <xdr:ext cx="184731" cy="264560"/>
    <xdr:sp macro="" textlink="">
      <xdr:nvSpPr>
        <xdr:cNvPr id="5" name="TextBox 4">
          <a:extLst>
            <a:ext uri="{FF2B5EF4-FFF2-40B4-BE49-F238E27FC236}">
              <a16:creationId xmlns:a16="http://schemas.microsoft.com/office/drawing/2014/main" id="{ACA95BB1-976F-CC1A-F493-8486F60CFF79}"/>
            </a:ext>
          </a:extLst>
        </xdr:cNvPr>
        <xdr:cNvSpPr txBox="1"/>
      </xdr:nvSpPr>
      <xdr:spPr>
        <a:xfrm>
          <a:off x="2391833" y="4572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421217</xdr:colOff>
      <xdr:row>14</xdr:row>
      <xdr:rowOff>76200</xdr:rowOff>
    </xdr:to>
    <xdr:graphicFrame macro="">
      <xdr:nvGraphicFramePr>
        <xdr:cNvPr id="2" name="Chart 1">
          <a:extLst>
            <a:ext uri="{FF2B5EF4-FFF2-40B4-BE49-F238E27FC236}">
              <a16:creationId xmlns:a16="http://schemas.microsoft.com/office/drawing/2014/main" id="{0512CADC-BA96-4089-949A-8E48D9F2E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409575</xdr:colOff>
      <xdr:row>0</xdr:row>
      <xdr:rowOff>0</xdr:rowOff>
    </xdr:from>
    <xdr:to>
      <xdr:col>16</xdr:col>
      <xdr:colOff>196850</xdr:colOff>
      <xdr:row>14</xdr:row>
      <xdr:rowOff>0</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9CC94AF7-DA87-4D0B-A646-F6856209B81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315825" y="0"/>
              <a:ext cx="183515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428625</xdr:colOff>
      <xdr:row>0</xdr:row>
      <xdr:rowOff>28574</xdr:rowOff>
    </xdr:from>
    <xdr:to>
      <xdr:col>19</xdr:col>
      <xdr:colOff>552450</xdr:colOff>
      <xdr:row>14</xdr:row>
      <xdr:rowOff>76199</xdr:rowOff>
    </xdr:to>
    <mc:AlternateContent xmlns:mc="http://schemas.openxmlformats.org/markup-compatibility/2006">
      <mc:Choice xmlns:a14="http://schemas.microsoft.com/office/drawing/2010/main" Requires="a14">
        <xdr:graphicFrame macro="">
          <xdr:nvGraphicFramePr>
            <xdr:cNvPr id="4" name="Metric Clean">
              <a:extLst>
                <a:ext uri="{FF2B5EF4-FFF2-40B4-BE49-F238E27FC236}">
                  <a16:creationId xmlns:a16="http://schemas.microsoft.com/office/drawing/2014/main" id="{D8002E5B-CFD1-4320-8398-F9AB1BFCEFF9}"/>
                </a:ext>
              </a:extLst>
            </xdr:cNvPr>
            <xdr:cNvGraphicFramePr/>
          </xdr:nvGraphicFramePr>
          <xdr:xfrm>
            <a:off x="0" y="0"/>
            <a:ext cx="0" cy="0"/>
          </xdr:xfrm>
          <a:graphic>
            <a:graphicData uri="http://schemas.microsoft.com/office/drawing/2010/slicer">
              <sle:slicer xmlns:sle="http://schemas.microsoft.com/office/drawing/2010/slicer" name="Metric Clean"/>
            </a:graphicData>
          </a:graphic>
        </xdr:graphicFrame>
      </mc:Choice>
      <mc:Fallback>
        <xdr:sp macro="" textlink="">
          <xdr:nvSpPr>
            <xdr:cNvPr id="0" name=""/>
            <xdr:cNvSpPr>
              <a:spLocks noTextEdit="1"/>
            </xdr:cNvSpPr>
          </xdr:nvSpPr>
          <xdr:spPr>
            <a:xfrm>
              <a:off x="14382750" y="28574"/>
              <a:ext cx="2076450" cy="2714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16</xdr:row>
      <xdr:rowOff>0</xdr:rowOff>
    </xdr:from>
    <xdr:to>
      <xdr:col>17</xdr:col>
      <xdr:colOff>171450</xdr:colOff>
      <xdr:row>33</xdr:row>
      <xdr:rowOff>171450</xdr:rowOff>
    </xdr:to>
    <xdr:graphicFrame macro="">
      <xdr:nvGraphicFramePr>
        <xdr:cNvPr id="5" name="Chart 4">
          <a:extLst>
            <a:ext uri="{FF2B5EF4-FFF2-40B4-BE49-F238E27FC236}">
              <a16:creationId xmlns:a16="http://schemas.microsoft.com/office/drawing/2014/main" id="{BD663CE2-31BA-4BFC-A72C-7167FCC27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1619250</xdr:colOff>
      <xdr:row>46</xdr:row>
      <xdr:rowOff>31750</xdr:rowOff>
    </xdr:from>
    <xdr:to>
      <xdr:col>22</xdr:col>
      <xdr:colOff>539749</xdr:colOff>
      <xdr:row>48</xdr:row>
      <xdr:rowOff>158750</xdr:rowOff>
    </xdr:to>
    <xdr:sp macro="" textlink="">
      <xdr:nvSpPr>
        <xdr:cNvPr id="6" name="TextBox 5">
          <a:extLst>
            <a:ext uri="{FF2B5EF4-FFF2-40B4-BE49-F238E27FC236}">
              <a16:creationId xmlns:a16="http://schemas.microsoft.com/office/drawing/2014/main" id="{B40F2D7D-0C13-A2D5-7CA8-D8E3C5F2853B}"/>
            </a:ext>
          </a:extLst>
        </xdr:cNvPr>
        <xdr:cNvSpPr txBox="1"/>
      </xdr:nvSpPr>
      <xdr:spPr>
        <a:xfrm>
          <a:off x="1619250" y="8794750"/>
          <a:ext cx="16636999" cy="50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Injury crashes declined 8 % from 2011 to 2015, but the share of traffic-fatality crashes ticked up—severity is rising even as total incidents fall</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Sankar Bhuvanapalli" refreshedDate="45798.639635069441" createdVersion="8" refreshedVersion="8" minRefreshableVersion="3" recordCount="60" xr:uid="{23D26DA8-787C-4952-BC57-59E1942779C0}">
  <cacheSource type="worksheet">
    <worksheetSource name="Append2"/>
  </cacheSource>
  <cacheFields count="4">
    <cacheField name="Metric" numFmtId="0">
      <sharedItems/>
    </cacheField>
    <cacheField name="Year" numFmtId="0">
      <sharedItems count="5">
        <s v="2015"/>
        <s v="2014"/>
        <s v="2013"/>
        <s v="2012"/>
        <s v="2011"/>
      </sharedItems>
    </cacheField>
    <cacheField name="Value" numFmtId="0">
      <sharedItems containsSemiMixedTypes="0" containsString="0" containsNumber="1" containsInteger="1" minValue="117" maxValue="374003"/>
    </cacheField>
    <cacheField name="Metric Clean" numFmtId="0">
      <sharedItems count="12">
        <s v="Total Crashes"/>
        <s v="Injury Crashes"/>
        <s v="Total Injuries"/>
        <s v="Crashes with Traffic Fatalities"/>
        <s v="Total Traffic Fatalities"/>
        <s v="Commercial Vehicle Crashes"/>
        <s v="Commercial Vehicles"/>
        <s v="Property Damage Crashes"/>
        <s v="Pedestrian Crashes"/>
        <s v="Pedestrian Fatalities"/>
        <s v="Bicycle Crashes"/>
        <s v="Bicycle Fatalities"/>
      </sharedItems>
    </cacheField>
  </cacheFields>
  <extLst>
    <ext xmlns:x14="http://schemas.microsoft.com/office/spreadsheetml/2009/9/main" uri="{725AE2AE-9491-48be-B2B4-4EB974FC3084}">
      <x14:pivotCacheDefinition pivotCacheId="13632294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Total Crashes:"/>
    <x v="0"/>
    <n v="374003"/>
    <x v="0"/>
  </r>
  <r>
    <s v="Injury Crashes:"/>
    <x v="0"/>
    <n v="159765"/>
    <x v="1"/>
  </r>
  <r>
    <s v="Total Injuries:"/>
    <x v="0"/>
    <n v="243229"/>
    <x v="2"/>
  </r>
  <r>
    <s v="Crashes with Traffic Fatalities:"/>
    <x v="0"/>
    <n v="2670"/>
    <x v="3"/>
  </r>
  <r>
    <s v="Total Traffic Fatalities"/>
    <x v="0"/>
    <n v="2898"/>
    <x v="4"/>
  </r>
  <r>
    <s v="Commercial Vehicle Crashes:"/>
    <x v="0"/>
    <n v="38199"/>
    <x v="5"/>
  </r>
  <r>
    <s v="Commercial Vehicles:"/>
    <x v="0"/>
    <n v="41196"/>
    <x v="6"/>
  </r>
  <r>
    <s v="Property Damage Crashes:"/>
    <x v="0"/>
    <n v="211568"/>
    <x v="7"/>
  </r>
  <r>
    <s v="Pedestrian Crashes:"/>
    <x v="0"/>
    <n v="9075"/>
    <x v="8"/>
  </r>
  <r>
    <s v="Pedestrian Fatalities:"/>
    <x v="0"/>
    <n v="609"/>
    <x v="9"/>
  </r>
  <r>
    <s v="Bicycle Crashes:"/>
    <x v="0"/>
    <n v="7114"/>
    <x v="10"/>
  </r>
  <r>
    <s v="Bicycle Fatalities:"/>
    <x v="0"/>
    <n v="139"/>
    <x v="11"/>
  </r>
  <r>
    <s v="Total Crashes:"/>
    <x v="1"/>
    <n v="344336"/>
    <x v="0"/>
  </r>
  <r>
    <s v="Injury Crashes:"/>
    <x v="1"/>
    <n v="149493"/>
    <x v="1"/>
  </r>
  <r>
    <s v="Total Injuries:"/>
    <x v="1"/>
    <n v="225716"/>
    <x v="2"/>
  </r>
  <r>
    <s v="Crashes with Traffic Fatalities:"/>
    <x v="1"/>
    <n v="2339"/>
    <x v="3"/>
  </r>
  <r>
    <s v="Total Traffic Fatalities"/>
    <x v="1"/>
    <n v="2497"/>
    <x v="4"/>
  </r>
  <r>
    <s v="Commercial Vehicle Crashes:"/>
    <x v="1"/>
    <n v="34439"/>
    <x v="5"/>
  </r>
  <r>
    <s v="Commercial Vehicles:"/>
    <x v="1"/>
    <n v="37349"/>
    <x v="6"/>
  </r>
  <r>
    <s v="Property Damage Crashes:"/>
    <x v="1"/>
    <n v="192504"/>
    <x v="7"/>
  </r>
  <r>
    <s v="Pedestrian Crashes:"/>
    <x v="1"/>
    <n v="8846"/>
    <x v="8"/>
  </r>
  <r>
    <s v="Pedestrian Fatalities:"/>
    <x v="1"/>
    <n v="607"/>
    <x v="9"/>
  </r>
  <r>
    <s v="Bicycle Crashes:"/>
    <x v="1"/>
    <n v="7084"/>
    <x v="10"/>
  </r>
  <r>
    <s v="Bicycle Fatalities:"/>
    <x v="1"/>
    <n v="135"/>
    <x v="11"/>
  </r>
  <r>
    <s v="Total Crashes:"/>
    <x v="2"/>
    <n v="317197"/>
    <x v="0"/>
  </r>
  <r>
    <s v="Injury Crashes:"/>
    <x v="2"/>
    <n v="140204"/>
    <x v="1"/>
  </r>
  <r>
    <s v="Total Injuries:"/>
    <x v="2"/>
    <n v="211085"/>
    <x v="2"/>
  </r>
  <r>
    <s v="Crashes with Traffic Fatalities:"/>
    <x v="2"/>
    <n v="2224"/>
    <x v="3"/>
  </r>
  <r>
    <s v="Total Traffic Fatalities"/>
    <x v="2"/>
    <n v="2403"/>
    <x v="4"/>
  </r>
  <r>
    <s v="Commercial Vehicle Crashes:"/>
    <x v="2"/>
    <n v="32091"/>
    <x v="5"/>
  </r>
  <r>
    <s v="Commercial Vehicles:"/>
    <x v="2"/>
    <n v="34840"/>
    <x v="6"/>
  </r>
  <r>
    <s v="Property Damage Crashes:"/>
    <x v="2"/>
    <n v="174769"/>
    <x v="7"/>
  </r>
  <r>
    <s v="Pedestrian Crashes:"/>
    <x v="2"/>
    <n v="8421"/>
    <x v="8"/>
  </r>
  <r>
    <s v="Pedestrian Fatalities:"/>
    <x v="2"/>
    <n v="498"/>
    <x v="9"/>
  </r>
  <r>
    <s v="Bicycle Crashes:"/>
    <x v="2"/>
    <n v="6974"/>
    <x v="10"/>
  </r>
  <r>
    <s v="Bicycle Fatalities:"/>
    <x v="2"/>
    <n v="135"/>
    <x v="11"/>
  </r>
  <r>
    <s v="Total Crashes:"/>
    <x v="3"/>
    <n v="283367"/>
    <x v="0"/>
  </r>
  <r>
    <s v="Injury Crashes:"/>
    <x v="3"/>
    <n v="130333"/>
    <x v="1"/>
  </r>
  <r>
    <s v="Total Injuries:"/>
    <x v="3"/>
    <n v="198484"/>
    <x v="2"/>
  </r>
  <r>
    <s v="Crashes with Traffic Fatalities:"/>
    <x v="3"/>
    <n v="2249"/>
    <x v="3"/>
  </r>
  <r>
    <s v="Total Traffic Fatalities"/>
    <x v="3"/>
    <n v="2420"/>
    <x v="4"/>
  </r>
  <r>
    <s v="Commercial Vehicle Crashes:"/>
    <x v="3"/>
    <n v="29473"/>
    <x v="5"/>
  </r>
  <r>
    <s v="Commercial Vehicles:"/>
    <x v="3"/>
    <n v="31639"/>
    <x v="6"/>
  </r>
  <r>
    <s v="Property Damage Crashes:"/>
    <x v="3"/>
    <n v="150785"/>
    <x v="7"/>
  </r>
  <r>
    <s v="Pedestrian Crashes:"/>
    <x v="3"/>
    <n v="8280"/>
    <x v="8"/>
  </r>
  <r>
    <s v="Pedestrian Fatalities:"/>
    <x v="3"/>
    <n v="476"/>
    <x v="9"/>
  </r>
  <r>
    <s v="Bicycle Crashes:"/>
    <x v="3"/>
    <n v="6442"/>
    <x v="10"/>
  </r>
  <r>
    <s v="Bicycle Fatalities:"/>
    <x v="3"/>
    <n v="117"/>
    <x v="11"/>
  </r>
  <r>
    <s v="Total Crashes:"/>
    <x v="4"/>
    <n v="229210"/>
    <x v="0"/>
  </r>
  <r>
    <s v="Injury Crashes:"/>
    <x v="4"/>
    <n v="118157"/>
    <x v="1"/>
  </r>
  <r>
    <s v="Total Injuries:"/>
    <x v="4"/>
    <n v="182007"/>
    <x v="2"/>
  </r>
  <r>
    <s v="Crashes with Traffic Fatalities:"/>
    <x v="4"/>
    <n v="2215"/>
    <x v="3"/>
  </r>
  <r>
    <s v="Total Traffic Fatalities"/>
    <x v="4"/>
    <n v="2404"/>
    <x v="4"/>
  </r>
  <r>
    <s v="Commercial Vehicle Crashes:"/>
    <x v="4"/>
    <n v="11459"/>
    <x v="5"/>
  </r>
  <r>
    <s v="Commercial Vehicles:"/>
    <x v="4"/>
    <n v="12191"/>
    <x v="6"/>
  </r>
  <r>
    <s v="Property Damage Crashes:"/>
    <x v="4"/>
    <n v="108838"/>
    <x v="7"/>
  </r>
  <r>
    <s v="Pedestrian Crashes:"/>
    <x v="4"/>
    <n v="7046"/>
    <x v="8"/>
  </r>
  <r>
    <s v="Pedestrian Fatalities:"/>
    <x v="4"/>
    <n v="498"/>
    <x v="9"/>
  </r>
  <r>
    <s v="Bicycle Crashes:"/>
    <x v="4"/>
    <n v="5037"/>
    <x v="10"/>
  </r>
  <r>
    <s v="Bicycle Fatalities:"/>
    <x v="4"/>
    <n v="12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D44A85-6D7C-4C57-A489-CD92A8419F4B}"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36:Q42" firstHeaderRow="1" firstDataRow="2" firstDataCol="1"/>
  <pivotFields count="4">
    <pivotField showAll="0"/>
    <pivotField axis="axisCol" showAll="0">
      <items count="6">
        <item x="4"/>
        <item x="3"/>
        <item x="2"/>
        <item x="1"/>
        <item x="0"/>
        <item t="default"/>
      </items>
    </pivotField>
    <pivotField dataField="1" showAll="0"/>
    <pivotField axis="axisRow" showAll="0">
      <items count="13">
        <item h="1" x="10"/>
        <item h="1" x="11"/>
        <item h="1" x="5"/>
        <item h="1" x="6"/>
        <item x="3"/>
        <item x="1"/>
        <item x="8"/>
        <item x="9"/>
        <item h="1" x="7"/>
        <item h="1" x="0"/>
        <item h="1" x="2"/>
        <item h="1" x="4"/>
        <item t="default"/>
      </items>
    </pivotField>
  </pivotFields>
  <rowFields count="1">
    <field x="3"/>
  </rowFields>
  <rowItems count="5">
    <i>
      <x v="4"/>
    </i>
    <i>
      <x v="5"/>
    </i>
    <i>
      <x v="6"/>
    </i>
    <i>
      <x v="7"/>
    </i>
    <i t="grand">
      <x/>
    </i>
  </rowItems>
  <colFields count="1">
    <field x="1"/>
  </colFields>
  <colItems count="6">
    <i>
      <x/>
    </i>
    <i>
      <x v="1"/>
    </i>
    <i>
      <x v="2"/>
    </i>
    <i>
      <x v="3"/>
    </i>
    <i>
      <x v="4"/>
    </i>
    <i t="grand">
      <x/>
    </i>
  </colItems>
  <dataFields count="1">
    <dataField name="Sum of Value" fld="2" showDataAs="percentOfRow" baseField="0" baseItem="0" numFmtId="10"/>
  </dataFields>
  <conditionalFormats count="1">
    <conditionalFormat priority="1">
      <pivotAreas count="1">
        <pivotArea type="data" collapsedLevelsAreSubtotals="1" fieldPosition="0">
          <references count="2">
            <reference field="4294967294" count="1" selected="0">
              <x v="0"/>
            </reference>
            <reference field="3" count="12">
              <x v="0"/>
              <x v="1"/>
              <x v="2"/>
              <x v="3"/>
              <x v="4"/>
              <x v="5"/>
              <x v="6"/>
              <x v="7"/>
              <x v="8"/>
              <x v="9"/>
              <x v="10"/>
              <x v="11"/>
            </reference>
          </references>
        </pivotArea>
      </pivotAreas>
    </conditionalFormat>
  </conditional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8" format="7" series="1">
      <pivotArea type="data" outline="0" fieldPosition="0">
        <references count="2">
          <reference field="4294967294" count="1" selected="0">
            <x v="0"/>
          </reference>
          <reference field="1" count="1" selected="0">
            <x v="1"/>
          </reference>
        </references>
      </pivotArea>
    </chartFormat>
    <chartFormat chart="8" format="8" series="1">
      <pivotArea type="data" outline="0" fieldPosition="0">
        <references count="2">
          <reference field="4294967294" count="1" selected="0">
            <x v="0"/>
          </reference>
          <reference field="1" count="1" selected="0">
            <x v="4"/>
          </reference>
        </references>
      </pivotArea>
    </chartFormat>
    <chartFormat chart="8" format="9" series="1">
      <pivotArea type="data" outline="0" fieldPosition="0">
        <references count="2">
          <reference field="4294967294" count="1" selected="0">
            <x v="0"/>
          </reference>
          <reference field="1" count="1" selected="0">
            <x v="0"/>
          </reference>
        </references>
      </pivotArea>
    </chartFormat>
    <chartFormat chart="8" format="10" series="1">
      <pivotArea type="data" outline="0" fieldPosition="0">
        <references count="2">
          <reference field="4294967294" count="1" selected="0">
            <x v="0"/>
          </reference>
          <reference field="1" count="1" selected="0">
            <x v="2"/>
          </reference>
        </references>
      </pivotArea>
    </chartFormat>
    <chartFormat chart="8"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728A87-616B-45F9-8CFB-973EAAA1CA94}"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6:G42" firstHeaderRow="1" firstDataRow="2" firstDataCol="1"/>
  <pivotFields count="4">
    <pivotField showAll="0"/>
    <pivotField axis="axisCol" showAll="0">
      <items count="6">
        <item x="4"/>
        <item x="3"/>
        <item x="2"/>
        <item x="1"/>
        <item x="0"/>
        <item t="default"/>
      </items>
    </pivotField>
    <pivotField dataField="1" showAll="0"/>
    <pivotField axis="axisRow" showAll="0">
      <items count="13">
        <item h="1" x="10"/>
        <item h="1" x="11"/>
        <item h="1" x="5"/>
        <item h="1" x="6"/>
        <item x="3"/>
        <item x="1"/>
        <item x="8"/>
        <item x="9"/>
        <item h="1" x="7"/>
        <item h="1" x="0"/>
        <item h="1" x="2"/>
        <item h="1" x="4"/>
        <item t="default"/>
      </items>
    </pivotField>
  </pivotFields>
  <rowFields count="1">
    <field x="3"/>
  </rowFields>
  <rowItems count="5">
    <i>
      <x v="4"/>
    </i>
    <i>
      <x v="5"/>
    </i>
    <i>
      <x v="6"/>
    </i>
    <i>
      <x v="7"/>
    </i>
    <i t="grand">
      <x/>
    </i>
  </rowItems>
  <colFields count="1">
    <field x="1"/>
  </colFields>
  <colItems count="6">
    <i>
      <x/>
    </i>
    <i>
      <x v="1"/>
    </i>
    <i>
      <x v="2"/>
    </i>
    <i>
      <x v="3"/>
    </i>
    <i>
      <x v="4"/>
    </i>
    <i t="grand">
      <x/>
    </i>
  </colItems>
  <dataFields count="1">
    <dataField name="Sum of Value" fld="2" baseField="0" baseItem="0"/>
  </dataFields>
  <conditionalFormats count="1">
    <conditionalFormat priority="2">
      <pivotAreas count="1">
        <pivotArea type="data" collapsedLevelsAreSubtotals="1" fieldPosition="0">
          <references count="2">
            <reference field="4294967294" count="1" selected="0">
              <x v="0"/>
            </reference>
            <reference field="3" count="12">
              <x v="0"/>
              <x v="1"/>
              <x v="2"/>
              <x v="3"/>
              <x v="4"/>
              <x v="5"/>
              <x v="6"/>
              <x v="7"/>
              <x v="8"/>
              <x v="9"/>
              <x v="10"/>
              <x v="11"/>
            </reference>
          </references>
        </pivotArea>
      </pivotAreas>
    </conditionalFormat>
  </conditionalFormats>
  <chartFormats count="5">
    <chartFormat chart="5" format="10" series="1">
      <pivotArea type="data" outline="0" fieldPosition="0">
        <references count="2">
          <reference field="4294967294" count="1" selected="0">
            <x v="0"/>
          </reference>
          <reference field="1" count="1" selected="0">
            <x v="0"/>
          </reference>
        </references>
      </pivotArea>
    </chartFormat>
    <chartFormat chart="5" format="11" series="1">
      <pivotArea type="data" outline="0" fieldPosition="0">
        <references count="2">
          <reference field="4294967294" count="1" selected="0">
            <x v="0"/>
          </reference>
          <reference field="1" count="1" selected="0">
            <x v="1"/>
          </reference>
        </references>
      </pivotArea>
    </chartFormat>
    <chartFormat chart="5" format="12" series="1">
      <pivotArea type="data" outline="0" fieldPosition="0">
        <references count="2">
          <reference field="4294967294" count="1" selected="0">
            <x v="0"/>
          </reference>
          <reference field="1" count="1" selected="0">
            <x v="2"/>
          </reference>
        </references>
      </pivotArea>
    </chartFormat>
    <chartFormat chart="5" format="13" series="1">
      <pivotArea type="data" outline="0" fieldPosition="0">
        <references count="2">
          <reference field="4294967294" count="1" selected="0">
            <x v="0"/>
          </reference>
          <reference field="1" count="1" selected="0">
            <x v="3"/>
          </reference>
        </references>
      </pivotArea>
    </chartFormat>
    <chartFormat chart="5"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1" xr16:uid="{376B1618-97B1-4880-807A-D8038F32B2C9}" autoFormatId="16" applyNumberFormats="0" applyBorderFormats="0" applyFontFormats="0" applyPatternFormats="0" applyAlignmentFormats="0" applyWidthHeightFormats="0">
  <queryTableRefresh nextId="5" unboundColumnsRight="1">
    <queryTableFields count="4">
      <queryTableField id="1" name="Metric" tableColumnId="1"/>
      <queryTableField id="2" name="Year" tableColumnId="2"/>
      <queryTableField id="3" name="Value" tableColumnId="3"/>
      <queryTableField id="4" dataBound="0"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6" xr16:uid="{F10E2800-5991-4A06-A16F-1BF97FC96260}" autoFormatId="16" applyNumberFormats="0" applyBorderFormats="0" applyFontFormats="0" applyPatternFormats="0" applyAlignmentFormats="0" applyWidthHeightFormats="0">
  <queryTableRefresh nextId="4">
    <queryTableFields count="3">
      <queryTableField id="1" name="Metric" tableColumnId="1"/>
      <queryTableField id="2" name="Year" tableColumnId="2"/>
      <queryTableField id="3" name="Valu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5" xr16:uid="{44112DBA-3F5F-4CED-BD5A-719EAC6B0F86}" autoFormatId="16" applyNumberFormats="0" applyBorderFormats="0" applyFontFormats="0" applyPatternFormats="0" applyAlignmentFormats="0" applyWidthHeightFormats="0">
  <queryTableRefresh nextId="4">
    <queryTableFields count="3">
      <queryTableField id="1" name="Metric" tableColumnId="1"/>
      <queryTableField id="2" name="Year" tableColumnId="2"/>
      <queryTableField id="3" name="Valu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61CB600E-B2E4-447B-B6B7-352C945688C3}" autoFormatId="16" applyNumberFormats="0" applyBorderFormats="0" applyFontFormats="0" applyPatternFormats="0" applyAlignmentFormats="0" applyWidthHeightFormats="0">
  <queryTableRefresh nextId="4">
    <queryTableFields count="3">
      <queryTableField id="1" name="Metric" tableColumnId="1"/>
      <queryTableField id="2" name="Year" tableColumnId="2"/>
      <queryTableField id="3" name="Value"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3" xr16:uid="{DA076AFA-97AE-4F35-8104-ED1B6815295B}" autoFormatId="16" applyNumberFormats="0" applyBorderFormats="0" applyFontFormats="0" applyPatternFormats="0" applyAlignmentFormats="0" applyWidthHeightFormats="0">
  <queryTableRefresh nextId="4">
    <queryTableFields count="3">
      <queryTableField id="1" name="Metric" tableColumnId="1"/>
      <queryTableField id="2" name="Year" tableColumnId="2"/>
      <queryTableField id="3" name="Value"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2" xr16:uid="{0C9C2BF6-0BBE-4542-BF51-28577EB65886}" autoFormatId="16" applyNumberFormats="0" applyBorderFormats="0" applyFontFormats="0" applyPatternFormats="0" applyAlignmentFormats="0" applyWidthHeightFormats="0">
  <queryTableRefresh nextId="4">
    <queryTableFields count="3">
      <queryTableField id="1" name="Metric" tableColumnId="1"/>
      <queryTableField id="2" name="Year" tableColumnId="2"/>
      <queryTableField id="3" name="Valu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E14B8B4-4456-4319-B1AC-F5483819D950}" sourceName="Year">
  <pivotTables>
    <pivotTable tabId="1" name="PivotTable4"/>
    <pivotTable tabId="1" name="PivotTable6"/>
  </pivotTables>
  <data>
    <tabular pivotCacheId="1363229493">
      <items count="5">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ric_Clean" xr10:uid="{5049F885-149D-45D4-BE93-A797C806AD5F}" sourceName="Metric Clean">
  <pivotTables>
    <pivotTable tabId="1" name="PivotTable4"/>
    <pivotTable tabId="1" name="PivotTable6"/>
  </pivotTables>
  <data>
    <tabular pivotCacheId="1363229493">
      <items count="12">
        <i x="10"/>
        <i x="11"/>
        <i x="5"/>
        <i x="6"/>
        <i x="3" s="1"/>
        <i x="1" s="1"/>
        <i x="8" s="1"/>
        <i x="9" s="1"/>
        <i x="7"/>
        <i x="0"/>
        <i x="2"/>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E9AA41D-48EA-4BE5-8C40-3CF701CE7689}" cache="Slicer_Year" caption="Year" rowHeight="257175"/>
  <slicer name="Metric Clean" xr10:uid="{729F4C47-327C-4D33-A4A7-B873B0ABEFD6}" cache="Slicer_Metric_Clean" caption="Metric Clean" startItem="4"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DE267B2-3405-4BCB-812A-47E6535FF802}" name="Append2" displayName="Append2" ref="A1:D61" tableType="queryTable" totalsRowShown="0">
  <autoFilter ref="A1:D61" xr:uid="{EDE267B2-3405-4BCB-812A-47E6535FF802}"/>
  <tableColumns count="4">
    <tableColumn id="1" xr3:uid="{70D28E1D-5C37-4A1E-BDB6-1B2DA9608125}" uniqueName="1" name="Metric" queryTableFieldId="1"/>
    <tableColumn id="2" xr3:uid="{B6E5CA4F-0765-42F8-BCE7-B18FAA3E5758}" uniqueName="2" name="Year" queryTableFieldId="2" dataDxfId="1"/>
    <tableColumn id="3" xr3:uid="{2916F71D-45F3-47EF-A40E-6097F7404B0B}" uniqueName="3" name="Value" queryTableFieldId="3"/>
    <tableColumn id="4" xr3:uid="{CCEFAD4C-0E8C-4141-A48B-26DD580258CA}" uniqueName="4" name="Metric Clean" queryTableFieldId="4" dataDxfId="0">
      <calculatedColumnFormula>SUBSTITUTE(Append2[[#This Row],[Metric]],":","")</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BC8B7D-7CB4-49CD-873E-5F82EDA2A346}" name="Table6" displayName="Table6" ref="A1:C13" tableType="queryTable" totalsRowShown="0">
  <autoFilter ref="A1:C13" xr:uid="{41BC8B7D-7CB4-49CD-873E-5F82EDA2A346}"/>
  <tableColumns count="3">
    <tableColumn id="1" xr3:uid="{32B7CB2E-835B-4A53-BE35-C06A4BCF6B3E}" uniqueName="1" name="Metric" queryTableFieldId="1" dataDxfId="3"/>
    <tableColumn id="2" xr3:uid="{028C8D05-93A2-498A-878F-14BE006435F5}" uniqueName="2" name="Year" queryTableFieldId="2" dataDxfId="2"/>
    <tableColumn id="3" xr3:uid="{FF66177E-1055-407A-BBD1-27885C67A023}" uniqueName="3" name="Value"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5A7206-DC58-4A10-8831-A02BC72B2AAC}" name="Table5" displayName="Table5" ref="A1:C13" tableType="queryTable" totalsRowShown="0">
  <autoFilter ref="A1:C13" xr:uid="{FA5A7206-DC58-4A10-8831-A02BC72B2AAC}"/>
  <tableColumns count="3">
    <tableColumn id="1" xr3:uid="{B699A89F-7CAD-429C-9F86-030B695C2350}" uniqueName="1" name="Metric" queryTableFieldId="1" dataDxfId="5"/>
    <tableColumn id="2" xr3:uid="{29765282-0B09-45E6-907F-6B6E9BD89C67}" uniqueName="2" name="Year" queryTableFieldId="2" dataDxfId="4"/>
    <tableColumn id="3" xr3:uid="{FDE50E3A-4603-498E-9F95-D498978B14B3}" uniqueName="3" name="Value"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8864D94-5E8E-4D5C-8EBA-48F243057309}" name="Table4" displayName="Table4" ref="A1:C13" tableType="queryTable" totalsRowShown="0">
  <autoFilter ref="A1:C13" xr:uid="{28864D94-5E8E-4D5C-8EBA-48F243057309}"/>
  <tableColumns count="3">
    <tableColumn id="1" xr3:uid="{D78DCDB3-CEDB-4421-88D0-94FF0682C6B0}" uniqueName="1" name="Metric" queryTableFieldId="1" dataDxfId="7"/>
    <tableColumn id="2" xr3:uid="{37EBD04C-F318-4D5E-8774-9A5C5C211610}" uniqueName="2" name="Year" queryTableFieldId="2" dataDxfId="6"/>
    <tableColumn id="3" xr3:uid="{51C6F6D2-9F9A-455B-A44E-D1B17E3EF38F}" uniqueName="3" name="Value"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779315-9F62-4AA3-9C5D-E61861A03131}" name="Table3" displayName="Table3" ref="A1:C13" tableType="queryTable" totalsRowShown="0">
  <autoFilter ref="A1:C13" xr:uid="{FD779315-9F62-4AA3-9C5D-E61861A03131}"/>
  <tableColumns count="3">
    <tableColumn id="1" xr3:uid="{445F9AE0-A3A7-4B19-8F56-F89C0F938B66}" uniqueName="1" name="Metric" queryTableFieldId="1" dataDxfId="9"/>
    <tableColumn id="2" xr3:uid="{47ECCE50-A444-41B8-87AC-6E926E94941F}" uniqueName="2" name="Year" queryTableFieldId="2" dataDxfId="8"/>
    <tableColumn id="3" xr3:uid="{CCAF783D-62C6-4F56-B352-C3D483667A6E}" uniqueName="3" name="Value"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B9B244-0B34-4514-8922-6CBE56E0277F}" name="Table2" displayName="Table2" ref="A1:C13" tableType="queryTable" totalsRowShown="0">
  <autoFilter ref="A1:C13" xr:uid="{CBB9B244-0B34-4514-8922-6CBE56E0277F}"/>
  <tableColumns count="3">
    <tableColumn id="1" xr3:uid="{EAB1EFF2-BA27-43BE-8CE3-C9D0D96DBAD4}" uniqueName="1" name="Metric" queryTableFieldId="1"/>
    <tableColumn id="2" xr3:uid="{4A7725EC-F808-495D-AB0B-C2468A1A4D09}" uniqueName="2" name="Year" queryTableFieldId="2" dataDxfId="10"/>
    <tableColumn id="3" xr3:uid="{F6ECDC4E-792D-424D-B5CC-144AC1CC5DA2}" uniqueName="3" name="Value"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DF65-8EBA-49B5-92BC-68380D18B01D}">
  <dimension ref="A1"/>
  <sheetViews>
    <sheetView zoomScale="90" zoomScaleNormal="90" workbookViewId="0">
      <selection activeCell="A41" sqref="A41:G46"/>
    </sheetView>
  </sheetViews>
  <sheetFormatPr defaultRowHeight="15" x14ac:dyDescent="0.25"/>
  <cols>
    <col min="1" max="1" width="27.42578125" bestFit="1" customWidth="1"/>
    <col min="2" max="2" width="16.85546875" bestFit="1" customWidth="1"/>
    <col min="3" max="6" width="7.5703125" bestFit="1" customWidth="1"/>
    <col min="7" max="7" width="11.28515625" bestFit="1" customWidth="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D60EC-108C-4FCE-A62B-15EC7EF3D54F}">
  <dimension ref="A1:D61"/>
  <sheetViews>
    <sheetView workbookViewId="0">
      <selection activeCell="A50" sqref="A50"/>
    </sheetView>
  </sheetViews>
  <sheetFormatPr defaultRowHeight="15" x14ac:dyDescent="0.25"/>
  <cols>
    <col min="1" max="1" width="28" bestFit="1" customWidth="1"/>
    <col min="2" max="2" width="7.28515625" bestFit="1" customWidth="1"/>
    <col min="3" max="3" width="8.28515625" bestFit="1" customWidth="1"/>
    <col min="4" max="4" width="28.5703125" customWidth="1"/>
  </cols>
  <sheetData>
    <row r="1" spans="1:4" x14ac:dyDescent="0.25">
      <c r="A1" t="s">
        <v>0</v>
      </c>
      <c r="B1" t="s">
        <v>1</v>
      </c>
      <c r="C1" t="s">
        <v>2</v>
      </c>
      <c r="D1" t="s">
        <v>20</v>
      </c>
    </row>
    <row r="2" spans="1:4" x14ac:dyDescent="0.25">
      <c r="A2" t="s">
        <v>3</v>
      </c>
      <c r="B2" s="1" t="s">
        <v>4</v>
      </c>
      <c r="C2">
        <v>374003</v>
      </c>
      <c r="D2" t="str">
        <f>SUBSTITUTE(Append2[[#This Row],[Metric]],":","")</f>
        <v>Total Crashes</v>
      </c>
    </row>
    <row r="3" spans="1:4" x14ac:dyDescent="0.25">
      <c r="A3" t="s">
        <v>5</v>
      </c>
      <c r="B3" s="1" t="s">
        <v>4</v>
      </c>
      <c r="C3">
        <v>159765</v>
      </c>
      <c r="D3" t="str">
        <f>SUBSTITUTE(Append2[[#This Row],[Metric]],":","")</f>
        <v>Injury Crashes</v>
      </c>
    </row>
    <row r="4" spans="1:4" x14ac:dyDescent="0.25">
      <c r="A4" t="s">
        <v>6</v>
      </c>
      <c r="B4" s="1" t="s">
        <v>4</v>
      </c>
      <c r="C4">
        <v>243229</v>
      </c>
      <c r="D4" t="str">
        <f>SUBSTITUTE(Append2[[#This Row],[Metric]],":","")</f>
        <v>Total Injuries</v>
      </c>
    </row>
    <row r="5" spans="1:4" x14ac:dyDescent="0.25">
      <c r="A5" t="s">
        <v>7</v>
      </c>
      <c r="B5" s="1" t="s">
        <v>4</v>
      </c>
      <c r="C5">
        <v>2670</v>
      </c>
      <c r="D5" t="str">
        <f>SUBSTITUTE(Append2[[#This Row],[Metric]],":","")</f>
        <v>Crashes with Traffic Fatalities</v>
      </c>
    </row>
    <row r="6" spans="1:4" x14ac:dyDescent="0.25">
      <c r="A6" t="s">
        <v>8</v>
      </c>
      <c r="B6" s="1" t="s">
        <v>4</v>
      </c>
      <c r="C6">
        <v>2898</v>
      </c>
      <c r="D6" t="str">
        <f>SUBSTITUTE(Append2[[#This Row],[Metric]],":","")</f>
        <v>Total Traffic Fatalities</v>
      </c>
    </row>
    <row r="7" spans="1:4" x14ac:dyDescent="0.25">
      <c r="A7" t="s">
        <v>9</v>
      </c>
      <c r="B7" s="1" t="s">
        <v>4</v>
      </c>
      <c r="C7">
        <v>38199</v>
      </c>
      <c r="D7" t="str">
        <f>SUBSTITUTE(Append2[[#This Row],[Metric]],":","")</f>
        <v>Commercial Vehicle Crashes</v>
      </c>
    </row>
    <row r="8" spans="1:4" x14ac:dyDescent="0.25">
      <c r="A8" t="s">
        <v>10</v>
      </c>
      <c r="B8" s="1" t="s">
        <v>4</v>
      </c>
      <c r="C8">
        <v>41196</v>
      </c>
      <c r="D8" t="str">
        <f>SUBSTITUTE(Append2[[#This Row],[Metric]],":","")</f>
        <v>Commercial Vehicles</v>
      </c>
    </row>
    <row r="9" spans="1:4" x14ac:dyDescent="0.25">
      <c r="A9" t="s">
        <v>11</v>
      </c>
      <c r="B9" s="1" t="s">
        <v>4</v>
      </c>
      <c r="C9">
        <v>211568</v>
      </c>
      <c r="D9" t="str">
        <f>SUBSTITUTE(Append2[[#This Row],[Metric]],":","")</f>
        <v>Property Damage Crashes</v>
      </c>
    </row>
    <row r="10" spans="1:4" x14ac:dyDescent="0.25">
      <c r="A10" t="s">
        <v>12</v>
      </c>
      <c r="B10" s="1" t="s">
        <v>4</v>
      </c>
      <c r="C10">
        <v>9075</v>
      </c>
      <c r="D10" t="str">
        <f>SUBSTITUTE(Append2[[#This Row],[Metric]],":","")</f>
        <v>Pedestrian Crashes</v>
      </c>
    </row>
    <row r="11" spans="1:4" x14ac:dyDescent="0.25">
      <c r="A11" t="s">
        <v>13</v>
      </c>
      <c r="B11" s="1" t="s">
        <v>4</v>
      </c>
      <c r="C11">
        <v>609</v>
      </c>
      <c r="D11" t="str">
        <f>SUBSTITUTE(Append2[[#This Row],[Metric]],":","")</f>
        <v>Pedestrian Fatalities</v>
      </c>
    </row>
    <row r="12" spans="1:4" x14ac:dyDescent="0.25">
      <c r="A12" t="s">
        <v>14</v>
      </c>
      <c r="B12" s="1" t="s">
        <v>4</v>
      </c>
      <c r="C12">
        <v>7114</v>
      </c>
      <c r="D12" t="str">
        <f>SUBSTITUTE(Append2[[#This Row],[Metric]],":","")</f>
        <v>Bicycle Crashes</v>
      </c>
    </row>
    <row r="13" spans="1:4" x14ac:dyDescent="0.25">
      <c r="A13" t="s">
        <v>15</v>
      </c>
      <c r="B13" s="1" t="s">
        <v>4</v>
      </c>
      <c r="C13">
        <v>139</v>
      </c>
      <c r="D13" t="str">
        <f>SUBSTITUTE(Append2[[#This Row],[Metric]],":","")</f>
        <v>Bicycle Fatalities</v>
      </c>
    </row>
    <row r="14" spans="1:4" x14ac:dyDescent="0.25">
      <c r="A14" t="s">
        <v>3</v>
      </c>
      <c r="B14" s="1" t="s">
        <v>16</v>
      </c>
      <c r="C14">
        <v>344336</v>
      </c>
      <c r="D14" t="str">
        <f>SUBSTITUTE(Append2[[#This Row],[Metric]],":","")</f>
        <v>Total Crashes</v>
      </c>
    </row>
    <row r="15" spans="1:4" x14ac:dyDescent="0.25">
      <c r="A15" t="s">
        <v>5</v>
      </c>
      <c r="B15" s="1" t="s">
        <v>16</v>
      </c>
      <c r="C15">
        <v>149493</v>
      </c>
      <c r="D15" t="str">
        <f>SUBSTITUTE(Append2[[#This Row],[Metric]],":","")</f>
        <v>Injury Crashes</v>
      </c>
    </row>
    <row r="16" spans="1:4" x14ac:dyDescent="0.25">
      <c r="A16" t="s">
        <v>6</v>
      </c>
      <c r="B16" s="1" t="s">
        <v>16</v>
      </c>
      <c r="C16">
        <v>225716</v>
      </c>
      <c r="D16" t="str">
        <f>SUBSTITUTE(Append2[[#This Row],[Metric]],":","")</f>
        <v>Total Injuries</v>
      </c>
    </row>
    <row r="17" spans="1:4" x14ac:dyDescent="0.25">
      <c r="A17" t="s">
        <v>7</v>
      </c>
      <c r="B17" s="1" t="s">
        <v>16</v>
      </c>
      <c r="C17">
        <v>2339</v>
      </c>
      <c r="D17" t="str">
        <f>SUBSTITUTE(Append2[[#This Row],[Metric]],":","")</f>
        <v>Crashes with Traffic Fatalities</v>
      </c>
    </row>
    <row r="18" spans="1:4" x14ac:dyDescent="0.25">
      <c r="A18" t="s">
        <v>8</v>
      </c>
      <c r="B18" s="1" t="s">
        <v>16</v>
      </c>
      <c r="C18">
        <v>2497</v>
      </c>
      <c r="D18" t="str">
        <f>SUBSTITUTE(Append2[[#This Row],[Metric]],":","")</f>
        <v>Total Traffic Fatalities</v>
      </c>
    </row>
    <row r="19" spans="1:4" x14ac:dyDescent="0.25">
      <c r="A19" t="s">
        <v>9</v>
      </c>
      <c r="B19" s="1" t="s">
        <v>16</v>
      </c>
      <c r="C19">
        <v>34439</v>
      </c>
      <c r="D19" t="str">
        <f>SUBSTITUTE(Append2[[#This Row],[Metric]],":","")</f>
        <v>Commercial Vehicle Crashes</v>
      </c>
    </row>
    <row r="20" spans="1:4" x14ac:dyDescent="0.25">
      <c r="A20" t="s">
        <v>10</v>
      </c>
      <c r="B20" s="1" t="s">
        <v>16</v>
      </c>
      <c r="C20">
        <v>37349</v>
      </c>
      <c r="D20" t="str">
        <f>SUBSTITUTE(Append2[[#This Row],[Metric]],":","")</f>
        <v>Commercial Vehicles</v>
      </c>
    </row>
    <row r="21" spans="1:4" x14ac:dyDescent="0.25">
      <c r="A21" t="s">
        <v>11</v>
      </c>
      <c r="B21" s="1" t="s">
        <v>16</v>
      </c>
      <c r="C21">
        <v>192504</v>
      </c>
      <c r="D21" t="str">
        <f>SUBSTITUTE(Append2[[#This Row],[Metric]],":","")</f>
        <v>Property Damage Crashes</v>
      </c>
    </row>
    <row r="22" spans="1:4" x14ac:dyDescent="0.25">
      <c r="A22" t="s">
        <v>12</v>
      </c>
      <c r="B22" s="1" t="s">
        <v>16</v>
      </c>
      <c r="C22">
        <v>8846</v>
      </c>
      <c r="D22" t="str">
        <f>SUBSTITUTE(Append2[[#This Row],[Metric]],":","")</f>
        <v>Pedestrian Crashes</v>
      </c>
    </row>
    <row r="23" spans="1:4" x14ac:dyDescent="0.25">
      <c r="A23" t="s">
        <v>13</v>
      </c>
      <c r="B23" s="1" t="s">
        <v>16</v>
      </c>
      <c r="C23">
        <v>607</v>
      </c>
      <c r="D23" t="str">
        <f>SUBSTITUTE(Append2[[#This Row],[Metric]],":","")</f>
        <v>Pedestrian Fatalities</v>
      </c>
    </row>
    <row r="24" spans="1:4" x14ac:dyDescent="0.25">
      <c r="A24" t="s">
        <v>14</v>
      </c>
      <c r="B24" s="1" t="s">
        <v>16</v>
      </c>
      <c r="C24">
        <v>7084</v>
      </c>
      <c r="D24" t="str">
        <f>SUBSTITUTE(Append2[[#This Row],[Metric]],":","")</f>
        <v>Bicycle Crashes</v>
      </c>
    </row>
    <row r="25" spans="1:4" x14ac:dyDescent="0.25">
      <c r="A25" t="s">
        <v>15</v>
      </c>
      <c r="B25" s="1" t="s">
        <v>16</v>
      </c>
      <c r="C25">
        <v>135</v>
      </c>
      <c r="D25" t="str">
        <f>SUBSTITUTE(Append2[[#This Row],[Metric]],":","")</f>
        <v>Bicycle Fatalities</v>
      </c>
    </row>
    <row r="26" spans="1:4" x14ac:dyDescent="0.25">
      <c r="A26" t="s">
        <v>3</v>
      </c>
      <c r="B26" s="1" t="s">
        <v>17</v>
      </c>
      <c r="C26">
        <v>317197</v>
      </c>
      <c r="D26" t="str">
        <f>SUBSTITUTE(Append2[[#This Row],[Metric]],":","")</f>
        <v>Total Crashes</v>
      </c>
    </row>
    <row r="27" spans="1:4" x14ac:dyDescent="0.25">
      <c r="A27" t="s">
        <v>5</v>
      </c>
      <c r="B27" s="1" t="s">
        <v>17</v>
      </c>
      <c r="C27">
        <v>140204</v>
      </c>
      <c r="D27" t="str">
        <f>SUBSTITUTE(Append2[[#This Row],[Metric]],":","")</f>
        <v>Injury Crashes</v>
      </c>
    </row>
    <row r="28" spans="1:4" x14ac:dyDescent="0.25">
      <c r="A28" t="s">
        <v>6</v>
      </c>
      <c r="B28" s="1" t="s">
        <v>17</v>
      </c>
      <c r="C28">
        <v>211085</v>
      </c>
      <c r="D28" t="str">
        <f>SUBSTITUTE(Append2[[#This Row],[Metric]],":","")</f>
        <v>Total Injuries</v>
      </c>
    </row>
    <row r="29" spans="1:4" x14ac:dyDescent="0.25">
      <c r="A29" t="s">
        <v>7</v>
      </c>
      <c r="B29" s="1" t="s">
        <v>17</v>
      </c>
      <c r="C29">
        <v>2224</v>
      </c>
      <c r="D29" t="str">
        <f>SUBSTITUTE(Append2[[#This Row],[Metric]],":","")</f>
        <v>Crashes with Traffic Fatalities</v>
      </c>
    </row>
    <row r="30" spans="1:4" x14ac:dyDescent="0.25">
      <c r="A30" t="s">
        <v>8</v>
      </c>
      <c r="B30" s="1" t="s">
        <v>17</v>
      </c>
      <c r="C30">
        <v>2403</v>
      </c>
      <c r="D30" t="str">
        <f>SUBSTITUTE(Append2[[#This Row],[Metric]],":","")</f>
        <v>Total Traffic Fatalities</v>
      </c>
    </row>
    <row r="31" spans="1:4" x14ac:dyDescent="0.25">
      <c r="A31" t="s">
        <v>9</v>
      </c>
      <c r="B31" s="1" t="s">
        <v>17</v>
      </c>
      <c r="C31">
        <v>32091</v>
      </c>
      <c r="D31" t="str">
        <f>SUBSTITUTE(Append2[[#This Row],[Metric]],":","")</f>
        <v>Commercial Vehicle Crashes</v>
      </c>
    </row>
    <row r="32" spans="1:4" x14ac:dyDescent="0.25">
      <c r="A32" t="s">
        <v>10</v>
      </c>
      <c r="B32" s="1" t="s">
        <v>17</v>
      </c>
      <c r="C32">
        <v>34840</v>
      </c>
      <c r="D32" t="str">
        <f>SUBSTITUTE(Append2[[#This Row],[Metric]],":","")</f>
        <v>Commercial Vehicles</v>
      </c>
    </row>
    <row r="33" spans="1:4" x14ac:dyDescent="0.25">
      <c r="A33" t="s">
        <v>11</v>
      </c>
      <c r="B33" s="1" t="s">
        <v>17</v>
      </c>
      <c r="C33">
        <v>174769</v>
      </c>
      <c r="D33" t="str">
        <f>SUBSTITUTE(Append2[[#This Row],[Metric]],":","")</f>
        <v>Property Damage Crashes</v>
      </c>
    </row>
    <row r="34" spans="1:4" x14ac:dyDescent="0.25">
      <c r="A34" t="s">
        <v>12</v>
      </c>
      <c r="B34" s="1" t="s">
        <v>17</v>
      </c>
      <c r="C34">
        <v>8421</v>
      </c>
      <c r="D34" t="str">
        <f>SUBSTITUTE(Append2[[#This Row],[Metric]],":","")</f>
        <v>Pedestrian Crashes</v>
      </c>
    </row>
    <row r="35" spans="1:4" x14ac:dyDescent="0.25">
      <c r="A35" t="s">
        <v>13</v>
      </c>
      <c r="B35" s="1" t="s">
        <v>17</v>
      </c>
      <c r="C35">
        <v>498</v>
      </c>
      <c r="D35" t="str">
        <f>SUBSTITUTE(Append2[[#This Row],[Metric]],":","")</f>
        <v>Pedestrian Fatalities</v>
      </c>
    </row>
    <row r="36" spans="1:4" x14ac:dyDescent="0.25">
      <c r="A36" t="s">
        <v>14</v>
      </c>
      <c r="B36" s="1" t="s">
        <v>17</v>
      </c>
      <c r="C36">
        <v>6974</v>
      </c>
      <c r="D36" t="str">
        <f>SUBSTITUTE(Append2[[#This Row],[Metric]],":","")</f>
        <v>Bicycle Crashes</v>
      </c>
    </row>
    <row r="37" spans="1:4" x14ac:dyDescent="0.25">
      <c r="A37" t="s">
        <v>15</v>
      </c>
      <c r="B37" s="1" t="s">
        <v>17</v>
      </c>
      <c r="C37">
        <v>135</v>
      </c>
      <c r="D37" t="str">
        <f>SUBSTITUTE(Append2[[#This Row],[Metric]],":","")</f>
        <v>Bicycle Fatalities</v>
      </c>
    </row>
    <row r="38" spans="1:4" x14ac:dyDescent="0.25">
      <c r="A38" t="s">
        <v>3</v>
      </c>
      <c r="B38" s="1" t="s">
        <v>18</v>
      </c>
      <c r="C38">
        <v>283367</v>
      </c>
      <c r="D38" t="str">
        <f>SUBSTITUTE(Append2[[#This Row],[Metric]],":","")</f>
        <v>Total Crashes</v>
      </c>
    </row>
    <row r="39" spans="1:4" x14ac:dyDescent="0.25">
      <c r="A39" t="s">
        <v>5</v>
      </c>
      <c r="B39" s="1" t="s">
        <v>18</v>
      </c>
      <c r="C39">
        <v>130333</v>
      </c>
      <c r="D39" t="str">
        <f>SUBSTITUTE(Append2[[#This Row],[Metric]],":","")</f>
        <v>Injury Crashes</v>
      </c>
    </row>
    <row r="40" spans="1:4" x14ac:dyDescent="0.25">
      <c r="A40" t="s">
        <v>6</v>
      </c>
      <c r="B40" s="1" t="s">
        <v>18</v>
      </c>
      <c r="C40">
        <v>198484</v>
      </c>
      <c r="D40" t="str">
        <f>SUBSTITUTE(Append2[[#This Row],[Metric]],":","")</f>
        <v>Total Injuries</v>
      </c>
    </row>
    <row r="41" spans="1:4" x14ac:dyDescent="0.25">
      <c r="A41" t="s">
        <v>7</v>
      </c>
      <c r="B41" s="1" t="s">
        <v>18</v>
      </c>
      <c r="C41">
        <v>2249</v>
      </c>
      <c r="D41" t="str">
        <f>SUBSTITUTE(Append2[[#This Row],[Metric]],":","")</f>
        <v>Crashes with Traffic Fatalities</v>
      </c>
    </row>
    <row r="42" spans="1:4" x14ac:dyDescent="0.25">
      <c r="A42" t="s">
        <v>8</v>
      </c>
      <c r="B42" s="1" t="s">
        <v>18</v>
      </c>
      <c r="C42">
        <v>2420</v>
      </c>
      <c r="D42" t="str">
        <f>SUBSTITUTE(Append2[[#This Row],[Metric]],":","")</f>
        <v>Total Traffic Fatalities</v>
      </c>
    </row>
    <row r="43" spans="1:4" x14ac:dyDescent="0.25">
      <c r="A43" t="s">
        <v>9</v>
      </c>
      <c r="B43" s="1" t="s">
        <v>18</v>
      </c>
      <c r="C43">
        <v>29473</v>
      </c>
      <c r="D43" t="str">
        <f>SUBSTITUTE(Append2[[#This Row],[Metric]],":","")</f>
        <v>Commercial Vehicle Crashes</v>
      </c>
    </row>
    <row r="44" spans="1:4" x14ac:dyDescent="0.25">
      <c r="A44" t="s">
        <v>10</v>
      </c>
      <c r="B44" s="1" t="s">
        <v>18</v>
      </c>
      <c r="C44">
        <v>31639</v>
      </c>
      <c r="D44" t="str">
        <f>SUBSTITUTE(Append2[[#This Row],[Metric]],":","")</f>
        <v>Commercial Vehicles</v>
      </c>
    </row>
    <row r="45" spans="1:4" x14ac:dyDescent="0.25">
      <c r="A45" t="s">
        <v>11</v>
      </c>
      <c r="B45" s="1" t="s">
        <v>18</v>
      </c>
      <c r="C45">
        <v>150785</v>
      </c>
      <c r="D45" t="str">
        <f>SUBSTITUTE(Append2[[#This Row],[Metric]],":","")</f>
        <v>Property Damage Crashes</v>
      </c>
    </row>
    <row r="46" spans="1:4" x14ac:dyDescent="0.25">
      <c r="A46" t="s">
        <v>12</v>
      </c>
      <c r="B46" s="1" t="s">
        <v>18</v>
      </c>
      <c r="C46">
        <v>8280</v>
      </c>
      <c r="D46" t="str">
        <f>SUBSTITUTE(Append2[[#This Row],[Metric]],":","")</f>
        <v>Pedestrian Crashes</v>
      </c>
    </row>
    <row r="47" spans="1:4" x14ac:dyDescent="0.25">
      <c r="A47" t="s">
        <v>13</v>
      </c>
      <c r="B47" s="1" t="s">
        <v>18</v>
      </c>
      <c r="C47">
        <v>476</v>
      </c>
      <c r="D47" t="str">
        <f>SUBSTITUTE(Append2[[#This Row],[Metric]],":","")</f>
        <v>Pedestrian Fatalities</v>
      </c>
    </row>
    <row r="48" spans="1:4" x14ac:dyDescent="0.25">
      <c r="A48" t="s">
        <v>14</v>
      </c>
      <c r="B48" s="1" t="s">
        <v>18</v>
      </c>
      <c r="C48">
        <v>6442</v>
      </c>
      <c r="D48" t="str">
        <f>SUBSTITUTE(Append2[[#This Row],[Metric]],":","")</f>
        <v>Bicycle Crashes</v>
      </c>
    </row>
    <row r="49" spans="1:4" x14ac:dyDescent="0.25">
      <c r="A49" t="s">
        <v>15</v>
      </c>
      <c r="B49" s="1" t="s">
        <v>18</v>
      </c>
      <c r="C49">
        <v>117</v>
      </c>
      <c r="D49" t="str">
        <f>SUBSTITUTE(Append2[[#This Row],[Metric]],":","")</f>
        <v>Bicycle Fatalities</v>
      </c>
    </row>
    <row r="50" spans="1:4" x14ac:dyDescent="0.25">
      <c r="A50" t="s">
        <v>3</v>
      </c>
      <c r="B50" s="1" t="s">
        <v>19</v>
      </c>
      <c r="C50">
        <v>229210</v>
      </c>
      <c r="D50" t="str">
        <f>SUBSTITUTE(Append2[[#This Row],[Metric]],":","")</f>
        <v>Total Crashes</v>
      </c>
    </row>
    <row r="51" spans="1:4" x14ac:dyDescent="0.25">
      <c r="A51" t="s">
        <v>5</v>
      </c>
      <c r="B51" s="1" t="s">
        <v>19</v>
      </c>
      <c r="C51">
        <v>118157</v>
      </c>
      <c r="D51" t="str">
        <f>SUBSTITUTE(Append2[[#This Row],[Metric]],":","")</f>
        <v>Injury Crashes</v>
      </c>
    </row>
    <row r="52" spans="1:4" x14ac:dyDescent="0.25">
      <c r="A52" t="s">
        <v>6</v>
      </c>
      <c r="B52" s="1" t="s">
        <v>19</v>
      </c>
      <c r="C52">
        <v>182007</v>
      </c>
      <c r="D52" t="str">
        <f>SUBSTITUTE(Append2[[#This Row],[Metric]],":","")</f>
        <v>Total Injuries</v>
      </c>
    </row>
    <row r="53" spans="1:4" x14ac:dyDescent="0.25">
      <c r="A53" t="s">
        <v>7</v>
      </c>
      <c r="B53" s="1" t="s">
        <v>19</v>
      </c>
      <c r="C53">
        <v>2215</v>
      </c>
      <c r="D53" t="str">
        <f>SUBSTITUTE(Append2[[#This Row],[Metric]],":","")</f>
        <v>Crashes with Traffic Fatalities</v>
      </c>
    </row>
    <row r="54" spans="1:4" x14ac:dyDescent="0.25">
      <c r="A54" t="s">
        <v>8</v>
      </c>
      <c r="B54" s="1" t="s">
        <v>19</v>
      </c>
      <c r="C54">
        <v>2404</v>
      </c>
      <c r="D54" t="str">
        <f>SUBSTITUTE(Append2[[#This Row],[Metric]],":","")</f>
        <v>Total Traffic Fatalities</v>
      </c>
    </row>
    <row r="55" spans="1:4" x14ac:dyDescent="0.25">
      <c r="A55" t="s">
        <v>9</v>
      </c>
      <c r="B55" s="1" t="s">
        <v>19</v>
      </c>
      <c r="C55">
        <v>11459</v>
      </c>
      <c r="D55" t="str">
        <f>SUBSTITUTE(Append2[[#This Row],[Metric]],":","")</f>
        <v>Commercial Vehicle Crashes</v>
      </c>
    </row>
    <row r="56" spans="1:4" x14ac:dyDescent="0.25">
      <c r="A56" t="s">
        <v>10</v>
      </c>
      <c r="B56" s="1" t="s">
        <v>19</v>
      </c>
      <c r="C56">
        <v>12191</v>
      </c>
      <c r="D56" t="str">
        <f>SUBSTITUTE(Append2[[#This Row],[Metric]],":","")</f>
        <v>Commercial Vehicles</v>
      </c>
    </row>
    <row r="57" spans="1:4" x14ac:dyDescent="0.25">
      <c r="A57" t="s">
        <v>11</v>
      </c>
      <c r="B57" s="1" t="s">
        <v>19</v>
      </c>
      <c r="C57">
        <v>108838</v>
      </c>
      <c r="D57" t="str">
        <f>SUBSTITUTE(Append2[[#This Row],[Metric]],":","")</f>
        <v>Property Damage Crashes</v>
      </c>
    </row>
    <row r="58" spans="1:4" x14ac:dyDescent="0.25">
      <c r="A58" t="s">
        <v>12</v>
      </c>
      <c r="B58" s="1" t="s">
        <v>19</v>
      </c>
      <c r="C58">
        <v>7046</v>
      </c>
      <c r="D58" t="str">
        <f>SUBSTITUTE(Append2[[#This Row],[Metric]],":","")</f>
        <v>Pedestrian Crashes</v>
      </c>
    </row>
    <row r="59" spans="1:4" x14ac:dyDescent="0.25">
      <c r="A59" t="s">
        <v>13</v>
      </c>
      <c r="B59" s="1" t="s">
        <v>19</v>
      </c>
      <c r="C59">
        <v>498</v>
      </c>
      <c r="D59" t="str">
        <f>SUBSTITUTE(Append2[[#This Row],[Metric]],":","")</f>
        <v>Pedestrian Fatalities</v>
      </c>
    </row>
    <row r="60" spans="1:4" x14ac:dyDescent="0.25">
      <c r="A60" t="s">
        <v>14</v>
      </c>
      <c r="B60" s="1" t="s">
        <v>19</v>
      </c>
      <c r="C60">
        <v>5037</v>
      </c>
      <c r="D60" t="str">
        <f>SUBSTITUTE(Append2[[#This Row],[Metric]],":","")</f>
        <v>Bicycle Crashes</v>
      </c>
    </row>
    <row r="61" spans="1:4" x14ac:dyDescent="0.25">
      <c r="A61" t="s">
        <v>15</v>
      </c>
      <c r="B61" s="1" t="s">
        <v>19</v>
      </c>
      <c r="C61">
        <v>120</v>
      </c>
      <c r="D61" t="str">
        <f>SUBSTITUTE(Append2[[#This Row],[Metric]],":","")</f>
        <v>Bicycle Fatalities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9DC2C-2AE0-4D15-845B-3ED179882685}">
  <dimension ref="A1:C13"/>
  <sheetViews>
    <sheetView workbookViewId="0"/>
  </sheetViews>
  <sheetFormatPr defaultRowHeight="15" x14ac:dyDescent="0.25"/>
  <cols>
    <col min="1" max="1" width="28" bestFit="1" customWidth="1"/>
    <col min="2" max="2" width="7.28515625" bestFit="1" customWidth="1"/>
    <col min="3" max="3" width="8.28515625" bestFit="1" customWidth="1"/>
  </cols>
  <sheetData>
    <row r="1" spans="1:3" x14ac:dyDescent="0.25">
      <c r="A1" t="s">
        <v>0</v>
      </c>
      <c r="B1" t="s">
        <v>1</v>
      </c>
      <c r="C1" t="s">
        <v>2</v>
      </c>
    </row>
    <row r="2" spans="1:3" x14ac:dyDescent="0.25">
      <c r="A2" s="1" t="s">
        <v>3</v>
      </c>
      <c r="B2" s="1" t="s">
        <v>19</v>
      </c>
      <c r="C2">
        <v>229210</v>
      </c>
    </row>
    <row r="3" spans="1:3" x14ac:dyDescent="0.25">
      <c r="A3" s="1" t="s">
        <v>5</v>
      </c>
      <c r="B3" s="1" t="s">
        <v>19</v>
      </c>
      <c r="C3">
        <v>118157</v>
      </c>
    </row>
    <row r="4" spans="1:3" x14ac:dyDescent="0.25">
      <c r="A4" s="1" t="s">
        <v>6</v>
      </c>
      <c r="B4" s="1" t="s">
        <v>19</v>
      </c>
      <c r="C4">
        <v>182007</v>
      </c>
    </row>
    <row r="5" spans="1:3" x14ac:dyDescent="0.25">
      <c r="A5" s="1" t="s">
        <v>7</v>
      </c>
      <c r="B5" s="1" t="s">
        <v>19</v>
      </c>
      <c r="C5">
        <v>2215</v>
      </c>
    </row>
    <row r="6" spans="1:3" x14ac:dyDescent="0.25">
      <c r="A6" s="1" t="s">
        <v>8</v>
      </c>
      <c r="B6" s="1" t="s">
        <v>19</v>
      </c>
      <c r="C6">
        <v>2404</v>
      </c>
    </row>
    <row r="7" spans="1:3" x14ac:dyDescent="0.25">
      <c r="A7" s="1" t="s">
        <v>9</v>
      </c>
      <c r="B7" s="1" t="s">
        <v>19</v>
      </c>
      <c r="C7">
        <v>11459</v>
      </c>
    </row>
    <row r="8" spans="1:3" x14ac:dyDescent="0.25">
      <c r="A8" s="1" t="s">
        <v>10</v>
      </c>
      <c r="B8" s="1" t="s">
        <v>19</v>
      </c>
      <c r="C8">
        <v>12191</v>
      </c>
    </row>
    <row r="9" spans="1:3" x14ac:dyDescent="0.25">
      <c r="A9" s="1" t="s">
        <v>11</v>
      </c>
      <c r="B9" s="1" t="s">
        <v>19</v>
      </c>
      <c r="C9">
        <v>108838</v>
      </c>
    </row>
    <row r="10" spans="1:3" x14ac:dyDescent="0.25">
      <c r="A10" s="1" t="s">
        <v>12</v>
      </c>
      <c r="B10" s="1" t="s">
        <v>19</v>
      </c>
      <c r="C10">
        <v>7046</v>
      </c>
    </row>
    <row r="11" spans="1:3" x14ac:dyDescent="0.25">
      <c r="A11" s="1" t="s">
        <v>13</v>
      </c>
      <c r="B11" s="1" t="s">
        <v>19</v>
      </c>
      <c r="C11">
        <v>498</v>
      </c>
    </row>
    <row r="12" spans="1:3" x14ac:dyDescent="0.25">
      <c r="A12" s="1" t="s">
        <v>14</v>
      </c>
      <c r="B12" s="1" t="s">
        <v>19</v>
      </c>
      <c r="C12">
        <v>5037</v>
      </c>
    </row>
    <row r="13" spans="1:3" x14ac:dyDescent="0.25">
      <c r="A13" s="1" t="s">
        <v>15</v>
      </c>
      <c r="B13" s="1" t="s">
        <v>19</v>
      </c>
      <c r="C13">
        <v>120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63673-1B53-4D0B-9A96-D4739BF79973}">
  <dimension ref="A1:C13"/>
  <sheetViews>
    <sheetView workbookViewId="0"/>
  </sheetViews>
  <sheetFormatPr defaultRowHeight="15" x14ac:dyDescent="0.25"/>
  <cols>
    <col min="1" max="1" width="28" bestFit="1" customWidth="1"/>
    <col min="2" max="2" width="7.28515625" bestFit="1" customWidth="1"/>
    <col min="3" max="3" width="8.28515625" bestFit="1" customWidth="1"/>
  </cols>
  <sheetData>
    <row r="1" spans="1:3" x14ac:dyDescent="0.25">
      <c r="A1" t="s">
        <v>0</v>
      </c>
      <c r="B1" t="s">
        <v>1</v>
      </c>
      <c r="C1" t="s">
        <v>2</v>
      </c>
    </row>
    <row r="2" spans="1:3" x14ac:dyDescent="0.25">
      <c r="A2" s="1" t="s">
        <v>3</v>
      </c>
      <c r="B2" s="1" t="s">
        <v>18</v>
      </c>
      <c r="C2">
        <v>283367</v>
      </c>
    </row>
    <row r="3" spans="1:3" x14ac:dyDescent="0.25">
      <c r="A3" s="1" t="s">
        <v>5</v>
      </c>
      <c r="B3" s="1" t="s">
        <v>18</v>
      </c>
      <c r="C3">
        <v>130333</v>
      </c>
    </row>
    <row r="4" spans="1:3" x14ac:dyDescent="0.25">
      <c r="A4" s="1" t="s">
        <v>6</v>
      </c>
      <c r="B4" s="1" t="s">
        <v>18</v>
      </c>
      <c r="C4">
        <v>198484</v>
      </c>
    </row>
    <row r="5" spans="1:3" x14ac:dyDescent="0.25">
      <c r="A5" s="1" t="s">
        <v>7</v>
      </c>
      <c r="B5" s="1" t="s">
        <v>18</v>
      </c>
      <c r="C5">
        <v>2249</v>
      </c>
    </row>
    <row r="6" spans="1:3" x14ac:dyDescent="0.25">
      <c r="A6" s="1" t="s">
        <v>8</v>
      </c>
      <c r="B6" s="1" t="s">
        <v>18</v>
      </c>
      <c r="C6">
        <v>2420</v>
      </c>
    </row>
    <row r="7" spans="1:3" x14ac:dyDescent="0.25">
      <c r="A7" s="1" t="s">
        <v>9</v>
      </c>
      <c r="B7" s="1" t="s">
        <v>18</v>
      </c>
      <c r="C7">
        <v>29473</v>
      </c>
    </row>
    <row r="8" spans="1:3" x14ac:dyDescent="0.25">
      <c r="A8" s="1" t="s">
        <v>10</v>
      </c>
      <c r="B8" s="1" t="s">
        <v>18</v>
      </c>
      <c r="C8">
        <v>31639</v>
      </c>
    </row>
    <row r="9" spans="1:3" x14ac:dyDescent="0.25">
      <c r="A9" s="1" t="s">
        <v>11</v>
      </c>
      <c r="B9" s="1" t="s">
        <v>18</v>
      </c>
      <c r="C9">
        <v>150785</v>
      </c>
    </row>
    <row r="10" spans="1:3" x14ac:dyDescent="0.25">
      <c r="A10" s="1" t="s">
        <v>12</v>
      </c>
      <c r="B10" s="1" t="s">
        <v>18</v>
      </c>
      <c r="C10">
        <v>8280</v>
      </c>
    </row>
    <row r="11" spans="1:3" x14ac:dyDescent="0.25">
      <c r="A11" s="1" t="s">
        <v>13</v>
      </c>
      <c r="B11" s="1" t="s">
        <v>18</v>
      </c>
      <c r="C11">
        <v>476</v>
      </c>
    </row>
    <row r="12" spans="1:3" x14ac:dyDescent="0.25">
      <c r="A12" s="1" t="s">
        <v>14</v>
      </c>
      <c r="B12" s="1" t="s">
        <v>18</v>
      </c>
      <c r="C12">
        <v>6442</v>
      </c>
    </row>
    <row r="13" spans="1:3" x14ac:dyDescent="0.25">
      <c r="A13" s="1" t="s">
        <v>15</v>
      </c>
      <c r="B13" s="1" t="s">
        <v>18</v>
      </c>
      <c r="C13">
        <v>117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576B8-CEBA-4A83-AF85-A9407BB3C342}">
  <dimension ref="A1:C13"/>
  <sheetViews>
    <sheetView workbookViewId="0"/>
  </sheetViews>
  <sheetFormatPr defaultRowHeight="15" x14ac:dyDescent="0.25"/>
  <cols>
    <col min="1" max="1" width="28" bestFit="1" customWidth="1"/>
    <col min="2" max="2" width="7.28515625" bestFit="1" customWidth="1"/>
    <col min="3" max="3" width="8.28515625" bestFit="1" customWidth="1"/>
  </cols>
  <sheetData>
    <row r="1" spans="1:3" x14ac:dyDescent="0.25">
      <c r="A1" t="s">
        <v>0</v>
      </c>
      <c r="B1" t="s">
        <v>1</v>
      </c>
      <c r="C1" t="s">
        <v>2</v>
      </c>
    </row>
    <row r="2" spans="1:3" x14ac:dyDescent="0.25">
      <c r="A2" s="1" t="s">
        <v>3</v>
      </c>
      <c r="B2" s="1" t="s">
        <v>17</v>
      </c>
      <c r="C2">
        <v>317197</v>
      </c>
    </row>
    <row r="3" spans="1:3" x14ac:dyDescent="0.25">
      <c r="A3" s="1" t="s">
        <v>5</v>
      </c>
      <c r="B3" s="1" t="s">
        <v>17</v>
      </c>
      <c r="C3">
        <v>140204</v>
      </c>
    </row>
    <row r="4" spans="1:3" x14ac:dyDescent="0.25">
      <c r="A4" s="1" t="s">
        <v>6</v>
      </c>
      <c r="B4" s="1" t="s">
        <v>17</v>
      </c>
      <c r="C4">
        <v>211085</v>
      </c>
    </row>
    <row r="5" spans="1:3" x14ac:dyDescent="0.25">
      <c r="A5" s="1" t="s">
        <v>7</v>
      </c>
      <c r="B5" s="1" t="s">
        <v>17</v>
      </c>
      <c r="C5">
        <v>2224</v>
      </c>
    </row>
    <row r="6" spans="1:3" x14ac:dyDescent="0.25">
      <c r="A6" s="1" t="s">
        <v>8</v>
      </c>
      <c r="B6" s="1" t="s">
        <v>17</v>
      </c>
      <c r="C6">
        <v>2403</v>
      </c>
    </row>
    <row r="7" spans="1:3" x14ac:dyDescent="0.25">
      <c r="A7" s="1" t="s">
        <v>9</v>
      </c>
      <c r="B7" s="1" t="s">
        <v>17</v>
      </c>
      <c r="C7">
        <v>32091</v>
      </c>
    </row>
    <row r="8" spans="1:3" x14ac:dyDescent="0.25">
      <c r="A8" s="1" t="s">
        <v>10</v>
      </c>
      <c r="B8" s="1" t="s">
        <v>17</v>
      </c>
      <c r="C8">
        <v>34840</v>
      </c>
    </row>
    <row r="9" spans="1:3" x14ac:dyDescent="0.25">
      <c r="A9" s="1" t="s">
        <v>11</v>
      </c>
      <c r="B9" s="1" t="s">
        <v>17</v>
      </c>
      <c r="C9">
        <v>174769</v>
      </c>
    </row>
    <row r="10" spans="1:3" x14ac:dyDescent="0.25">
      <c r="A10" s="1" t="s">
        <v>12</v>
      </c>
      <c r="B10" s="1" t="s">
        <v>17</v>
      </c>
      <c r="C10">
        <v>8421</v>
      </c>
    </row>
    <row r="11" spans="1:3" x14ac:dyDescent="0.25">
      <c r="A11" s="1" t="s">
        <v>13</v>
      </c>
      <c r="B11" s="1" t="s">
        <v>17</v>
      </c>
      <c r="C11">
        <v>498</v>
      </c>
    </row>
    <row r="12" spans="1:3" x14ac:dyDescent="0.25">
      <c r="A12" s="1" t="s">
        <v>14</v>
      </c>
      <c r="B12" s="1" t="s">
        <v>17</v>
      </c>
      <c r="C12">
        <v>6974</v>
      </c>
    </row>
    <row r="13" spans="1:3" x14ac:dyDescent="0.25">
      <c r="A13" s="1" t="s">
        <v>15</v>
      </c>
      <c r="B13" s="1" t="s">
        <v>17</v>
      </c>
      <c r="C13">
        <v>135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881D4-0F97-48B9-A6F7-EB87EB768B63}">
  <dimension ref="A1:C13"/>
  <sheetViews>
    <sheetView workbookViewId="0"/>
  </sheetViews>
  <sheetFormatPr defaultRowHeight="15" x14ac:dyDescent="0.25"/>
  <cols>
    <col min="1" max="1" width="28" bestFit="1" customWidth="1"/>
    <col min="2" max="2" width="7.28515625" bestFit="1" customWidth="1"/>
    <col min="3" max="3" width="8.28515625" bestFit="1" customWidth="1"/>
  </cols>
  <sheetData>
    <row r="1" spans="1:3" x14ac:dyDescent="0.25">
      <c r="A1" t="s">
        <v>0</v>
      </c>
      <c r="B1" t="s">
        <v>1</v>
      </c>
      <c r="C1" t="s">
        <v>2</v>
      </c>
    </row>
    <row r="2" spans="1:3" x14ac:dyDescent="0.25">
      <c r="A2" s="1" t="s">
        <v>3</v>
      </c>
      <c r="B2" s="1" t="s">
        <v>16</v>
      </c>
      <c r="C2">
        <v>344336</v>
      </c>
    </row>
    <row r="3" spans="1:3" x14ac:dyDescent="0.25">
      <c r="A3" s="1" t="s">
        <v>5</v>
      </c>
      <c r="B3" s="1" t="s">
        <v>16</v>
      </c>
      <c r="C3">
        <v>149493</v>
      </c>
    </row>
    <row r="4" spans="1:3" x14ac:dyDescent="0.25">
      <c r="A4" s="1" t="s">
        <v>6</v>
      </c>
      <c r="B4" s="1" t="s">
        <v>16</v>
      </c>
      <c r="C4">
        <v>225716</v>
      </c>
    </row>
    <row r="5" spans="1:3" x14ac:dyDescent="0.25">
      <c r="A5" s="1" t="s">
        <v>7</v>
      </c>
      <c r="B5" s="1" t="s">
        <v>16</v>
      </c>
      <c r="C5">
        <v>2339</v>
      </c>
    </row>
    <row r="6" spans="1:3" x14ac:dyDescent="0.25">
      <c r="A6" s="1" t="s">
        <v>8</v>
      </c>
      <c r="B6" s="1" t="s">
        <v>16</v>
      </c>
      <c r="C6">
        <v>2497</v>
      </c>
    </row>
    <row r="7" spans="1:3" x14ac:dyDescent="0.25">
      <c r="A7" s="1" t="s">
        <v>9</v>
      </c>
      <c r="B7" s="1" t="s">
        <v>16</v>
      </c>
      <c r="C7">
        <v>34439</v>
      </c>
    </row>
    <row r="8" spans="1:3" x14ac:dyDescent="0.25">
      <c r="A8" s="1" t="s">
        <v>10</v>
      </c>
      <c r="B8" s="1" t="s">
        <v>16</v>
      </c>
      <c r="C8">
        <v>37349</v>
      </c>
    </row>
    <row r="9" spans="1:3" x14ac:dyDescent="0.25">
      <c r="A9" s="1" t="s">
        <v>11</v>
      </c>
      <c r="B9" s="1" t="s">
        <v>16</v>
      </c>
      <c r="C9">
        <v>192504</v>
      </c>
    </row>
    <row r="10" spans="1:3" x14ac:dyDescent="0.25">
      <c r="A10" s="1" t="s">
        <v>12</v>
      </c>
      <c r="B10" s="1" t="s">
        <v>16</v>
      </c>
      <c r="C10">
        <v>8846</v>
      </c>
    </row>
    <row r="11" spans="1:3" x14ac:dyDescent="0.25">
      <c r="A11" s="1" t="s">
        <v>13</v>
      </c>
      <c r="B11" s="1" t="s">
        <v>16</v>
      </c>
      <c r="C11">
        <v>607</v>
      </c>
    </row>
    <row r="12" spans="1:3" x14ac:dyDescent="0.25">
      <c r="A12" s="1" t="s">
        <v>14</v>
      </c>
      <c r="B12" s="1" t="s">
        <v>16</v>
      </c>
      <c r="C12">
        <v>7084</v>
      </c>
    </row>
    <row r="13" spans="1:3" x14ac:dyDescent="0.25">
      <c r="A13" s="1" t="s">
        <v>15</v>
      </c>
      <c r="B13" s="1" t="s">
        <v>16</v>
      </c>
      <c r="C13">
        <v>135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6CECF-2AC7-4EA6-A034-269EE60E7CA9}">
  <dimension ref="A1:C13"/>
  <sheetViews>
    <sheetView workbookViewId="0"/>
  </sheetViews>
  <sheetFormatPr defaultRowHeight="15" x14ac:dyDescent="0.25"/>
  <cols>
    <col min="1" max="1" width="28" bestFit="1" customWidth="1"/>
    <col min="2" max="2" width="7.28515625" bestFit="1" customWidth="1"/>
    <col min="3" max="3" width="8.28515625" bestFit="1" customWidth="1"/>
  </cols>
  <sheetData>
    <row r="1" spans="1:3" x14ac:dyDescent="0.25">
      <c r="A1" t="s">
        <v>0</v>
      </c>
      <c r="B1" t="s">
        <v>1</v>
      </c>
      <c r="C1" t="s">
        <v>2</v>
      </c>
    </row>
    <row r="2" spans="1:3" x14ac:dyDescent="0.25">
      <c r="A2" t="s">
        <v>3</v>
      </c>
      <c r="B2" s="1" t="s">
        <v>4</v>
      </c>
      <c r="C2">
        <v>374003</v>
      </c>
    </row>
    <row r="3" spans="1:3" x14ac:dyDescent="0.25">
      <c r="A3" t="s">
        <v>5</v>
      </c>
      <c r="B3" s="1" t="s">
        <v>4</v>
      </c>
      <c r="C3">
        <v>159765</v>
      </c>
    </row>
    <row r="4" spans="1:3" x14ac:dyDescent="0.25">
      <c r="A4" t="s">
        <v>6</v>
      </c>
      <c r="B4" s="1" t="s">
        <v>4</v>
      </c>
      <c r="C4">
        <v>243229</v>
      </c>
    </row>
    <row r="5" spans="1:3" x14ac:dyDescent="0.25">
      <c r="A5" t="s">
        <v>7</v>
      </c>
      <c r="B5" s="1" t="s">
        <v>4</v>
      </c>
      <c r="C5">
        <v>2670</v>
      </c>
    </row>
    <row r="6" spans="1:3" x14ac:dyDescent="0.25">
      <c r="A6" t="s">
        <v>8</v>
      </c>
      <c r="B6" s="1" t="s">
        <v>4</v>
      </c>
      <c r="C6">
        <v>2898</v>
      </c>
    </row>
    <row r="7" spans="1:3" x14ac:dyDescent="0.25">
      <c r="A7" t="s">
        <v>9</v>
      </c>
      <c r="B7" s="1" t="s">
        <v>4</v>
      </c>
      <c r="C7">
        <v>38199</v>
      </c>
    </row>
    <row r="8" spans="1:3" x14ac:dyDescent="0.25">
      <c r="A8" t="s">
        <v>10</v>
      </c>
      <c r="B8" s="1" t="s">
        <v>4</v>
      </c>
      <c r="C8">
        <v>41196</v>
      </c>
    </row>
    <row r="9" spans="1:3" x14ac:dyDescent="0.25">
      <c r="A9" t="s">
        <v>11</v>
      </c>
      <c r="B9" s="1" t="s">
        <v>4</v>
      </c>
      <c r="C9">
        <v>211568</v>
      </c>
    </row>
    <row r="10" spans="1:3" x14ac:dyDescent="0.25">
      <c r="A10" t="s">
        <v>12</v>
      </c>
      <c r="B10" s="1" t="s">
        <v>4</v>
      </c>
      <c r="C10">
        <v>9075</v>
      </c>
    </row>
    <row r="11" spans="1:3" x14ac:dyDescent="0.25">
      <c r="A11" t="s">
        <v>13</v>
      </c>
      <c r="B11" s="1" t="s">
        <v>4</v>
      </c>
      <c r="C11">
        <v>609</v>
      </c>
    </row>
    <row r="12" spans="1:3" x14ac:dyDescent="0.25">
      <c r="A12" t="s">
        <v>14</v>
      </c>
      <c r="B12" s="1" t="s">
        <v>4</v>
      </c>
      <c r="C12">
        <v>7114</v>
      </c>
    </row>
    <row r="13" spans="1:3" x14ac:dyDescent="0.25">
      <c r="A13" t="s">
        <v>15</v>
      </c>
      <c r="B13" s="1" t="s">
        <v>4</v>
      </c>
      <c r="C13">
        <v>139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C73C6-655B-48B5-8C38-3CED84DC4DB0}">
  <dimension ref="A36:Q42"/>
  <sheetViews>
    <sheetView tabSelected="1" zoomScale="60" workbookViewId="0">
      <selection activeCell="G63" sqref="G63"/>
    </sheetView>
  </sheetViews>
  <sheetFormatPr defaultRowHeight="15" x14ac:dyDescent="0.25"/>
  <cols>
    <col min="1" max="1" width="27.42578125" bestFit="1" customWidth="1"/>
    <col min="2" max="2" width="16.85546875" bestFit="1" customWidth="1"/>
    <col min="3" max="6" width="10.5703125" bestFit="1" customWidth="1"/>
    <col min="7" max="7" width="11.28515625" bestFit="1" customWidth="1"/>
    <col min="11" max="11" width="27.42578125" bestFit="1" customWidth="1"/>
    <col min="12" max="12" width="16.85546875" bestFit="1" customWidth="1"/>
    <col min="13" max="13" width="9.85546875" bestFit="1" customWidth="1"/>
    <col min="14" max="14" width="10.42578125" bestFit="1" customWidth="1"/>
    <col min="15" max="15" width="9.85546875" bestFit="1" customWidth="1"/>
    <col min="16" max="16" width="10.42578125" bestFit="1" customWidth="1"/>
    <col min="17" max="17" width="11.28515625" bestFit="1" customWidth="1"/>
  </cols>
  <sheetData>
    <row r="36" spans="1:17" x14ac:dyDescent="0.25">
      <c r="A36" s="4" t="s">
        <v>28</v>
      </c>
      <c r="B36" s="4" t="s">
        <v>27</v>
      </c>
      <c r="K36" s="4" t="s">
        <v>28</v>
      </c>
      <c r="L36" s="4" t="s">
        <v>27</v>
      </c>
    </row>
    <row r="37" spans="1:17" x14ac:dyDescent="0.25">
      <c r="A37" s="4" t="s">
        <v>21</v>
      </c>
      <c r="B37" s="2" t="s">
        <v>19</v>
      </c>
      <c r="C37" s="2" t="s">
        <v>18</v>
      </c>
      <c r="D37" s="2" t="s">
        <v>17</v>
      </c>
      <c r="E37" s="2" t="s">
        <v>16</v>
      </c>
      <c r="F37" s="2" t="s">
        <v>4</v>
      </c>
      <c r="G37" s="2" t="s">
        <v>26</v>
      </c>
      <c r="K37" s="4" t="s">
        <v>21</v>
      </c>
      <c r="L37" s="2" t="s">
        <v>19</v>
      </c>
      <c r="M37" s="2" t="s">
        <v>18</v>
      </c>
      <c r="N37" s="2" t="s">
        <v>17</v>
      </c>
      <c r="O37" s="2" t="s">
        <v>16</v>
      </c>
      <c r="P37" s="2" t="s">
        <v>4</v>
      </c>
      <c r="Q37" s="2" t="s">
        <v>26</v>
      </c>
    </row>
    <row r="38" spans="1:17" x14ac:dyDescent="0.25">
      <c r="A38" s="5" t="s">
        <v>22</v>
      </c>
      <c r="B38" s="3">
        <v>2215</v>
      </c>
      <c r="C38" s="3">
        <v>2249</v>
      </c>
      <c r="D38" s="3">
        <v>2224</v>
      </c>
      <c r="E38" s="3">
        <v>2339</v>
      </c>
      <c r="F38" s="3">
        <v>2670</v>
      </c>
      <c r="G38" s="3">
        <v>11697</v>
      </c>
      <c r="K38" s="5" t="s">
        <v>22</v>
      </c>
      <c r="L38" s="6">
        <v>0.18936479439172438</v>
      </c>
      <c r="M38" s="6">
        <v>0.19227152261263572</v>
      </c>
      <c r="N38" s="6">
        <v>0.1901342224502009</v>
      </c>
      <c r="O38" s="6">
        <v>0.19996580319740104</v>
      </c>
      <c r="P38" s="6">
        <v>0.22826365734803797</v>
      </c>
      <c r="Q38" s="6">
        <v>1</v>
      </c>
    </row>
    <row r="39" spans="1:17" x14ac:dyDescent="0.25">
      <c r="A39" s="5" t="s">
        <v>23</v>
      </c>
      <c r="B39" s="3">
        <v>118157</v>
      </c>
      <c r="C39" s="3">
        <v>130333</v>
      </c>
      <c r="D39" s="3">
        <v>140204</v>
      </c>
      <c r="E39" s="3">
        <v>149493</v>
      </c>
      <c r="F39" s="3">
        <v>159765</v>
      </c>
      <c r="G39" s="3">
        <v>697952</v>
      </c>
      <c r="K39" s="5" t="s">
        <v>23</v>
      </c>
      <c r="L39" s="6">
        <v>0.16929101141625785</v>
      </c>
      <c r="M39" s="6">
        <v>0.18673633716931823</v>
      </c>
      <c r="N39" s="6">
        <v>0.200879143551419</v>
      </c>
      <c r="O39" s="6">
        <v>0.21418808170189355</v>
      </c>
      <c r="P39" s="6">
        <v>0.22890542616111137</v>
      </c>
      <c r="Q39" s="6">
        <v>1</v>
      </c>
    </row>
    <row r="40" spans="1:17" x14ac:dyDescent="0.25">
      <c r="A40" s="5" t="s">
        <v>24</v>
      </c>
      <c r="B40" s="3">
        <v>7046</v>
      </c>
      <c r="C40" s="3">
        <v>8280</v>
      </c>
      <c r="D40" s="3">
        <v>8421</v>
      </c>
      <c r="E40" s="3">
        <v>8846</v>
      </c>
      <c r="F40" s="3">
        <v>9075</v>
      </c>
      <c r="G40" s="3">
        <v>41668</v>
      </c>
      <c r="K40" s="5" t="s">
        <v>24</v>
      </c>
      <c r="L40" s="6">
        <v>0.16909858884515697</v>
      </c>
      <c r="M40" s="6">
        <v>0.19871364116348278</v>
      </c>
      <c r="N40" s="6">
        <v>0.20209753287894788</v>
      </c>
      <c r="O40" s="6">
        <v>0.21229720648939235</v>
      </c>
      <c r="P40" s="6">
        <v>0.21779303062302005</v>
      </c>
      <c r="Q40" s="6">
        <v>1</v>
      </c>
    </row>
    <row r="41" spans="1:17" x14ac:dyDescent="0.25">
      <c r="A41" s="5" t="s">
        <v>25</v>
      </c>
      <c r="B41" s="3">
        <v>498</v>
      </c>
      <c r="C41" s="3">
        <v>476</v>
      </c>
      <c r="D41" s="3">
        <v>498</v>
      </c>
      <c r="E41" s="3">
        <v>607</v>
      </c>
      <c r="F41" s="3">
        <v>609</v>
      </c>
      <c r="G41" s="3">
        <v>2688</v>
      </c>
      <c r="K41" s="5" t="s">
        <v>25</v>
      </c>
      <c r="L41" s="6">
        <v>0.18526785714285715</v>
      </c>
      <c r="M41" s="6">
        <v>0.17708333333333334</v>
      </c>
      <c r="N41" s="6">
        <v>0.18526785714285715</v>
      </c>
      <c r="O41" s="6">
        <v>0.22581845238095238</v>
      </c>
      <c r="P41" s="6">
        <v>0.2265625</v>
      </c>
      <c r="Q41" s="6">
        <v>1</v>
      </c>
    </row>
    <row r="42" spans="1:17" x14ac:dyDescent="0.25">
      <c r="A42" s="5" t="s">
        <v>26</v>
      </c>
      <c r="B42" s="3">
        <v>127916</v>
      </c>
      <c r="C42" s="3">
        <v>141338</v>
      </c>
      <c r="D42" s="3">
        <v>151347</v>
      </c>
      <c r="E42" s="3">
        <v>161285</v>
      </c>
      <c r="F42" s="3">
        <v>172119</v>
      </c>
      <c r="G42" s="3">
        <v>754005</v>
      </c>
      <c r="K42" s="5" t="s">
        <v>26</v>
      </c>
      <c r="L42" s="6">
        <v>0.16964874238234495</v>
      </c>
      <c r="M42" s="6">
        <v>0.18744968534691414</v>
      </c>
      <c r="N42" s="6">
        <v>0.20072413312909065</v>
      </c>
      <c r="O42" s="6">
        <v>0.21390441707946234</v>
      </c>
      <c r="P42" s="6">
        <v>0.22827302206218791</v>
      </c>
      <c r="Q42" s="6">
        <v>1</v>
      </c>
    </row>
  </sheetData>
  <conditionalFormatting pivot="1" sqref="B38:G41">
    <cfRule type="colorScale" priority="2">
      <colorScale>
        <cfvo type="min"/>
        <cfvo type="percentile" val="50"/>
        <cfvo type="max"/>
        <color rgb="FFF8696B"/>
        <color rgb="FFFFEB84"/>
        <color rgb="FF63BE7B"/>
      </colorScale>
    </cfRule>
  </conditionalFormatting>
  <conditionalFormatting pivot="1" sqref="L38:Q41">
    <cfRule type="colorScale" priority="1">
      <colorScale>
        <cfvo type="min"/>
        <cfvo type="percentile" val="50"/>
        <cfvo type="max"/>
        <color rgb="FFF8696B"/>
        <color rgb="FFFFEB84"/>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BB6C0E-29B2-48C4-8090-0C60AB28C6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Sheet5</vt:lpstr>
      <vt:lpstr>Append2</vt:lpstr>
      <vt:lpstr>Table6</vt:lpstr>
      <vt:lpstr>Table5</vt:lpstr>
      <vt:lpstr>Table4</vt:lpstr>
      <vt:lpstr>Table3</vt:lpstr>
      <vt:lpstr>Table2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Sankar Bhuvanapalli</dc:creator>
  <cp:lastModifiedBy>Sai Sankar Bhuvanapalli</cp:lastModifiedBy>
  <dcterms:created xsi:type="dcterms:W3CDTF">2025-05-21T18:08:34Z</dcterms:created>
  <dcterms:modified xsi:type="dcterms:W3CDTF">2025-05-21T19:48:19Z</dcterms:modified>
</cp:coreProperties>
</file>